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Trésorerie" sheetId="2" state="visible" r:id="rId4"/>
    <sheet name="Synthèse" sheetId="3" state="visible" r:id="rId5"/>
    <sheet name="Budget" sheetId="4" state="visible" r:id="rId6"/>
    <sheet name="Prix" sheetId="5" state="visible" r:id="rId7"/>
    <sheet name="Dons" sheetId="6" state="visible" r:id="rId8"/>
    <sheet name="Lis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<sst xmlns="http://schemas.openxmlformats.org/spreadsheetml/2006/main" count="135" uniqueCount="106">
  <si>
    <t xml:space="preserve">GESTION DES DONS — LES PETITS ENFANTS DE MARIE</t>
  </si>
  <si>
    <t xml:space="preserve">Mode d'emploi du classeur : remplissez uniquement les cellules JAUNES. Tout ce qui est blanc se calcule automatiquement. Chaque onglet contient une ligne d'exemple à remplacer par vos vraies données.</t>
  </si>
  <si>
    <t xml:space="preserve">Trésorerie</t>
  </si>
  <si>
    <t xml:space="preserve">Le journal de tous les mouvements : dons reçus et dépenses, ligne par ligne, avec la campagne, la catégorie, le n° de facture et le solde automatique. Les dépenses se saisissent en € ou en FCFA, la conversion est automatique.</t>
  </si>
  <si>
    <t xml:space="preserve">Synthèse</t>
  </si>
  <si>
    <t xml:space="preserve">L'analyse comparative par campagne : saisissez le montant total envoyé à la logistique (colonne jaune), le tableau le compare aux dons reçus et aux factures justifiées, et calcule le reste à justifier — avec la clôture de l'année en bas.</t>
  </si>
  <si>
    <t xml:space="preserve">Budget</t>
  </si>
  <si>
    <t xml:space="preserve">Votre budget par poste de dépense, modifiable à tout moment. Le « dépensé réel » se calcule tout seul depuis l'onglet Trésorerie.</t>
  </si>
  <si>
    <t xml:space="preserve">Prix</t>
  </si>
  <si>
    <t xml:space="preserve">Le comparatif des prix des articles d'une campagne à l'autre, pour analyser l'évolution des prix (riz, cahiers, cartables…).</t>
  </si>
  <si>
    <t xml:space="preserve">Dons</t>
  </si>
  <si>
    <t xml:space="preserve">Le détail des articles donnés à chaque orphelinat, campagne par campagne : article, quantité, valeur.</t>
  </si>
  <si>
    <t xml:space="preserve">Listes</t>
  </si>
  <si>
    <t xml:space="preserve">Vos campagnes, catégories de dépenses et le taux de change €/FCFA : modifiez-les ici, ils alimentent tous les onglets.</t>
  </si>
  <si>
    <t xml:space="preserve">Astuce : à chaque nouvelle campagne, ajoutez simplement son nom dans l'onglet Listes.</t>
  </si>
  <si>
    <t xml:space="preserve">SUIVI DE TRÉSORERIE</t>
  </si>
  <si>
    <t xml:space="preserve">Une ligne par mouvement : un don reçu (colonne Entrée) ou une dépense. Saisissez chaque dépense en € OU en FCFA (une seule des deux colonnes) : la colonne « Dépense retenue » convertit tout en euros avec le taux de l'onglet Listes. Les lignes 7 à 9 sont des exemples à remplacer.</t>
  </si>
  <si>
    <t xml:space="preserve">TOTAL ENTRÉES (DONS REÇUS)</t>
  </si>
  <si>
    <t xml:space="preserve">TOTAL DÉPENSES (€)</t>
  </si>
  <si>
    <t xml:space="preserve">SOLDE ACTUEL (€)</t>
  </si>
  <si>
    <t xml:space="preserve">DONT LOGISTIQUE (€)</t>
  </si>
  <si>
    <t xml:space="preserve">TOTAL DÉPENSES (FCFA)</t>
  </si>
  <si>
    <t xml:space="preserve">Date</t>
  </si>
  <si>
    <t xml:space="preserve">Campagne</t>
  </si>
  <si>
    <t xml:space="preserve">Catégorie</t>
  </si>
  <si>
    <t xml:space="preserve">Description</t>
  </si>
  <si>
    <t xml:space="preserve">N° facture / justificatif</t>
  </si>
  <si>
    <t xml:space="preserve">Entrée (€)</t>
  </si>
  <si>
    <t xml:space="preserve">Dépense (€)</t>
  </si>
  <si>
    <t xml:space="preserve">Dépense (FCFA)</t>
  </si>
  <si>
    <t xml:space="preserve">Dépense retenue (€)</t>
  </si>
  <si>
    <t xml:space="preserve">Solde cumulé (€)</t>
  </si>
  <si>
    <t xml:space="preserve">Noël 2025</t>
  </si>
  <si>
    <t xml:space="preserve">Don reçu</t>
  </si>
  <si>
    <t xml:space="preserve">Collecte en ligne de décembre</t>
  </si>
  <si>
    <t xml:space="preserve">Achats articles</t>
  </si>
  <si>
    <t xml:space="preserve">Cahiers, stylos et riz pour l'orphelinat (facture en FCFA)</t>
  </si>
  <si>
    <t xml:space="preserve">FACT-2025-001</t>
  </si>
  <si>
    <t xml:space="preserve">Logistique</t>
  </si>
  <si>
    <t xml:space="preserve">Transport des colis vers Cotonou</t>
  </si>
  <si>
    <t xml:space="preserve">FACT-2025-002</t>
  </si>
  <si>
    <t xml:space="preserve">SYNTHÈSE PAR CAMPAGNE — ANALYSE COMPARATIVE</t>
  </si>
  <si>
    <t xml:space="preserve">Saisissez uniquement la date d'envoi et le « Montant envoyé à la logistique » (colonnes jaunes) : c'est l'enveloppe totale envoyée pour la campagne. La contre-valeur en FCFA et le reste se calculent automatiquement (dons reçus et factures viennent de l'onglet Trésorerie). La dernière ligne donne la clôture de l'année.</t>
  </si>
  <si>
    <t xml:space="preserve">Année :</t>
  </si>
  <si>
    <t xml:space="preserve">Dons reçus (€)</t>
  </si>
  <si>
    <t xml:space="preserve">Date d'envoi</t>
  </si>
  <si>
    <t xml:space="preserve">Montant envoyé (€)</t>
  </si>
  <si>
    <t xml:space="preserve">Montant envoyé (FCFA)</t>
  </si>
  <si>
    <t xml:space="preserve">Factures justifiées (€)</t>
  </si>
  <si>
    <t xml:space="preserve">Reste à justifier (€)</t>
  </si>
  <si>
    <t xml:space="preserve">Solde campagne (€)</t>
  </si>
  <si>
    <t xml:space="preserve">% de l'envoi justifié</t>
  </si>
  <si>
    <t xml:space="preserve">TOTAL — CLÔTURE DE L'ANNÉE</t>
  </si>
  <si>
    <t xml:space="preserve">BUDGET ANNUEL PAR POSTE</t>
  </si>
  <si>
    <t xml:space="preserve">Modifiez les postes et les budgets (cellules jaunes) à tout moment. Le « Dépensé réel » se calcule automatiquement depuis la Trésorerie (le poste doit porter le même nom que la catégorie).</t>
  </si>
  <si>
    <t xml:space="preserve">Poste / Catégorie</t>
  </si>
  <si>
    <t xml:space="preserve">Budget prévu (€)</t>
  </si>
  <si>
    <t xml:space="preserve">Dépensé réel (€)</t>
  </si>
  <si>
    <t xml:space="preserve">Écart (€)</t>
  </si>
  <si>
    <t xml:space="preserve">% consommé</t>
  </si>
  <si>
    <t xml:space="preserve">Transport</t>
  </si>
  <si>
    <t xml:space="preserve">Frais divers</t>
  </si>
  <si>
    <t xml:space="preserve">TOTAL</t>
  </si>
  <si>
    <t xml:space="preserve">COMPARATIF DES PRIX DES ARTICLES</t>
  </si>
  <si>
    <t xml:space="preserve">Notez le prix unitaire de chaque article à chaque campagne (colonnes C à F : les en-têtes jaunes sont modifiables), en € ou en FCFA — gardez la même monnaie sur toute la ligne. L'évolution compare automatiquement le premier prix saisi au dernier. La ligne 6 est un exemple en FCFA.</t>
  </si>
  <si>
    <t xml:space="preserve">Article</t>
  </si>
  <si>
    <t xml:space="preserve">Unité</t>
  </si>
  <si>
    <t xml:space="preserve">Pâques 2026</t>
  </si>
  <si>
    <t xml:space="preserve">Rentrée 2026</t>
  </si>
  <si>
    <t xml:space="preserve">Noël 2026</t>
  </si>
  <si>
    <t xml:space="preserve">Évolution</t>
  </si>
  <si>
    <t xml:space="preserve">Notes</t>
  </si>
  <si>
    <t xml:space="preserve">Sac de riz 25 kg</t>
  </si>
  <si>
    <t xml:space="preserve">sac</t>
  </si>
  <si>
    <t xml:space="preserve">Cahier 96 pages</t>
  </si>
  <si>
    <t xml:space="preserve">pièce</t>
  </si>
  <si>
    <t xml:space="preserve">Stylo bleu</t>
  </si>
  <si>
    <t xml:space="preserve">Cartable</t>
  </si>
  <si>
    <t xml:space="preserve">Craie blanche</t>
  </si>
  <si>
    <t xml:space="preserve">boîte de 100</t>
  </si>
  <si>
    <t xml:space="preserve">Huile végétale 1 L</t>
  </si>
  <si>
    <t xml:space="preserve">bouteille</t>
  </si>
  <si>
    <t xml:space="preserve">Savon</t>
  </si>
  <si>
    <t xml:space="preserve">DÉTAIL DES DONS PAR CAMPAGNE</t>
  </si>
  <si>
    <t xml:space="preserve">Une ligne par article donné : campagne, orphelinat bénéficiaire, article, quantité et valeur. Saisissez le prix unitaire en € OU en FCFA (une seule des deux colonnes) : les valeurs totales se calculent dans les deux monnaies. Les lignes 7 à 9 sont des exemples à remplacer.</t>
  </si>
  <si>
    <t xml:space="preserve">VALEUR TOTALE DES DONS (€)</t>
  </si>
  <si>
    <t xml:space="preserve">VALEUR TOTALE (FCFA)</t>
  </si>
  <si>
    <t xml:space="preserve">ARTICLES DONNÉS (QUANTITÉ)</t>
  </si>
  <si>
    <t xml:space="preserve">Bénéficiaire (orphelinat…)</t>
  </si>
  <si>
    <t xml:space="preserve">Article donné</t>
  </si>
  <si>
    <t xml:space="preserve">Quantité</t>
  </si>
  <si>
    <t xml:space="preserve">Prix unitaire (€)</t>
  </si>
  <si>
    <t xml:space="preserve">Prix unitaire (FCFA)</t>
  </si>
  <si>
    <t xml:space="preserve">Valeur totale (€)</t>
  </si>
  <si>
    <t xml:space="preserve">Valeur totale (FCFA)</t>
  </si>
  <si>
    <t xml:space="preserve">Orphelinat Sainte-Marie, Cotonou</t>
  </si>
  <si>
    <t xml:space="preserve">LISTES MODIFIABLES</t>
  </si>
  <si>
    <t xml:space="preserve">Modifiez ou ajoutez ici vos campagnes et catégories : elles alimentent les menus déroulants et la Synthèse. Ajoutez une campagne à chaque nouvelle collecte.</t>
  </si>
  <si>
    <t xml:space="preserve">Campagnes de dons</t>
  </si>
  <si>
    <t xml:space="preserve">Catégories de dépenses</t>
  </si>
  <si>
    <t xml:space="preserve">Taux de change (1 € = X FCFA)</t>
  </si>
  <si>
    <t xml:space="preserve">Rentrée scolaire 2025</t>
  </si>
  <si>
    <t xml:space="preserve">Taux fixe officiel de l'euro vers le franc CFA (XOF). Modifiable si besoin.</t>
  </si>
  <si>
    <t xml:space="preserve">Rentrée scolaire 2026</t>
  </si>
  <si>
    <t xml:space="preserve">Opérations ponctuelles 2026</t>
  </si>
  <si>
    <t xml:space="preserve">Autre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</si>
</sst>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&quot; €&quot;"/>
    <numFmt numFmtId="166" formatCode="#,##0&quot; FCFA&quot;"/>
    <numFmt numFmtId="167" formatCode="dd/mm/yyyy"/>
    <numFmt numFmtId="168" formatCode="0"/>
    <numFmt numFmtId="169" formatCode="0.0%"/>
    <numFmt numFmtId="170" formatCode="#,##0.00"/>
    <numFmt numFmtId="171" formatCode="#,##0"/>
    <numFmt numFmtId="172" formatCode="#,##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94268F"/>
      <name val="Arial"/>
      <family val="0"/>
      <charset val="1"/>
    </font>
    <font>
      <b val="true"/>
      <sz val="8"/>
      <color rgb="FF555555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F3C7E"/>
        <bgColor rgb="FF003366"/>
      </patternFill>
    </fill>
    <fill>
      <patternFill patternType="solid">
        <fgColor rgb="FF2BA8E0"/>
        <bgColor rgb="FF00CCFF"/>
      </patternFill>
    </fill>
    <fill>
      <patternFill patternType="solid">
        <fgColor rgb="FF94268F"/>
        <bgColor rgb="FF993366"/>
      </patternFill>
    </fill>
    <fill>
      <patternFill patternType="solid">
        <fgColor rgb="FF45B84B"/>
        <bgColor rgb="FF2BA8E0"/>
      </patternFill>
    </fill>
    <fill>
      <patternFill patternType="solid">
        <fgColor rgb="FFF9931D"/>
        <bgColor rgb="FFFF8080"/>
      </patternFill>
    </fill>
    <fill>
      <patternFill patternType="solid">
        <fgColor rgb="FF888888"/>
        <bgColor rgb="FF999999"/>
      </patternFill>
    </fill>
    <fill>
      <patternFill patternType="solid">
        <fgColor rgb="FFD1E7D1"/>
        <bgColor rgb="FFE8E8E8"/>
      </patternFill>
    </fill>
    <fill>
      <patternFill patternType="solid">
        <fgColor rgb="FFF5D5D5"/>
        <bgColor rgb="FFFDEACC"/>
      </patternFill>
    </fill>
    <fill>
      <patternFill patternType="solid">
        <fgColor rgb="FFFDEACC"/>
        <bgColor rgb="FFFFF2CC"/>
      </patternFill>
    </fill>
    <fill>
      <patternFill patternType="solid">
        <fgColor rgb="FFE8E8E8"/>
        <bgColor rgb="FFD1E7D1"/>
      </patternFill>
    </fill>
    <fill>
      <patternFill patternType="solid">
        <fgColor rgb="FFFFF2CC"/>
        <bgColor rgb="FFFDEA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E7D1"/>
        </patternFill>
      </fill>
    </dxf>
    <dxf>
      <fill>
        <patternFill>
          <bgColor rgb="FFFDEACC"/>
        </patternFill>
      </fill>
    </dxf>
    <dxf>
      <fill>
        <patternFill>
          <bgColor rgb="FFF5D5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4268F"/>
      <rgbColor rgb="FFFFF2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1"/>
      <rgbColor rgb="FFFDEACC"/>
      <rgbColor rgb="FF99CCFF"/>
      <rgbColor rgb="FFFF99CC"/>
      <rgbColor rgb="FFCC99FF"/>
      <rgbColor rgb="FFF5D5D5"/>
      <rgbColor rgb="FF3366FF"/>
      <rgbColor rgb="FF2BA8E0"/>
      <rgbColor rgb="FF99CC00"/>
      <rgbColor rgb="FFFFCC00"/>
      <rgbColor rgb="FFF9931D"/>
      <rgbColor rgb="FFFF6600"/>
      <rgbColor rgb="FF555555"/>
      <rgbColor rgb="FF999999"/>
      <rgbColor rgb="FF003366"/>
      <rgbColor rgb="FF45B84B"/>
      <rgbColor rgb="FF003300"/>
      <rgbColor rgb="FF333300"/>
      <rgbColor rgb="FF993300"/>
      <rgbColor rgb="FF993366"/>
      <rgbColor rgb="FF2F3C7E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50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25.5" hidden="false" customHeight="true" outlineLevel="0" collapsed="false">
      <c r="A2" s="2" t="s">
        <v>1</v>
      </c>
      <c r="B2" s="2"/>
      <c r="C2" s="2"/>
    </row>
    <row r="4" customFormat="false" ht="39.75" hidden="false" customHeight="true" outlineLevel="0" collapsed="false">
      <c r="A4" s="3" t="s">
        <v>2</v>
      </c>
      <c r="B4" s="4" t="s">
        <v>3</v>
      </c>
      <c r="C4" s="4"/>
    </row>
    <row r="5" customFormat="false" ht="39.75" hidden="false" customHeight="true" outlineLevel="0" collapsed="false">
      <c r="A5" s="5" t="s">
        <v>4</v>
      </c>
      <c r="B5" s="4" t="s">
        <v>5</v>
      </c>
      <c r="C5" s="4"/>
    </row>
    <row r="6" customFormat="false" ht="39.75" hidden="false" customHeight="true" outlineLevel="0" collapsed="false">
      <c r="A6" s="6" t="s">
        <v>6</v>
      </c>
      <c r="B6" s="4" t="s">
        <v>7</v>
      </c>
      <c r="C6" s="4"/>
    </row>
    <row r="7" customFormat="false" ht="39.75" hidden="false" customHeight="true" outlineLevel="0" collapsed="false">
      <c r="A7" s="7" t="s">
        <v>8</v>
      </c>
      <c r="B7" s="4" t="s">
        <v>9</v>
      </c>
      <c r="C7" s="4"/>
    </row>
    <row r="8" customFormat="false" ht="39.75" hidden="false" customHeight="true" outlineLevel="0" collapsed="false">
      <c r="A8" s="8" t="s">
        <v>10</v>
      </c>
      <c r="B8" s="4" t="s">
        <v>11</v>
      </c>
      <c r="C8" s="4"/>
    </row>
    <row r="9" customFormat="false" ht="39.75" hidden="false" customHeight="true" outlineLevel="0" collapsed="false">
      <c r="A9" s="9" t="s">
        <v>12</v>
      </c>
      <c r="B9" s="4" t="s">
        <v>13</v>
      </c>
      <c r="C9" s="4"/>
    </row>
    <row r="11" customFormat="false" ht="15" hidden="false" customHeight="false" outlineLevel="0" collapsed="false">
      <c r="A11" s="10" t="s">
        <v>14</v>
      </c>
    </row>
  </sheetData>
  <mergeCells count="8">
    <mergeCell ref="A1:C1"/>
    <mergeCell ref="A2:C2"/>
    <mergeCell ref="B4:C4"/>
    <mergeCell ref="B5:C5"/>
    <mergeCell ref="B6:C6"/>
    <mergeCell ref="B7:C7"/>
    <mergeCell ref="B8:C8"/>
    <mergeCell ref="B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10" min="8" style="0" width="14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11" t="s">
        <v>17</v>
      </c>
      <c r="B4" s="11"/>
      <c r="C4" s="11" t="s">
        <v>18</v>
      </c>
      <c r="D4" s="11"/>
      <c r="E4" s="11" t="s">
        <v>19</v>
      </c>
      <c r="F4" s="11"/>
      <c r="G4" s="11" t="s">
        <v>20</v>
      </c>
      <c r="H4" s="11"/>
      <c r="I4" s="11" t="s">
        <v>21</v>
      </c>
      <c r="J4" s="11"/>
    </row>
    <row r="5" customFormat="false" ht="21.75" hidden="false" customHeight="true" outlineLevel="0" collapsed="false">
      <c r="A5" s="12" t="n">
        <f aca="false">SUM(F7:F306)</f>
        <v>3200</v>
      </c>
      <c r="B5" s="12"/>
      <c r="C5" s="13" t="n">
        <f aca="false">SUM(I7:I306)</f>
        <v>339.163329303598</v>
      </c>
      <c r="D5" s="13"/>
      <c r="E5" s="14" t="n">
        <f aca="false">SUM(F7:F306)-SUM(I7:I306)</f>
        <v>2860.8366706964</v>
      </c>
      <c r="F5" s="14"/>
      <c r="G5" s="15" t="n">
        <f aca="false">SUMIF(C7:C306,"Logistique",I7:I306)</f>
        <v>80</v>
      </c>
      <c r="H5" s="15"/>
      <c r="I5" s="16" t="n">
        <f aca="false">SUM(I7:I306)*Listes!$D$5</f>
        <v>222476.56</v>
      </c>
      <c r="J5" s="16"/>
    </row>
    <row r="6" customFormat="false" ht="25.5" hidden="false" customHeight="true" outlineLevel="0" collapsed="false">
      <c r="A6" s="17" t="s">
        <v>22</v>
      </c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7" t="s">
        <v>28</v>
      </c>
      <c r="H6" s="17" t="s">
        <v>29</v>
      </c>
      <c r="I6" s="17" t="s">
        <v>30</v>
      </c>
      <c r="J6" s="17" t="s">
        <v>31</v>
      </c>
    </row>
    <row r="7" customFormat="false" ht="15" hidden="false" customHeight="false" outlineLevel="0" collapsed="false">
      <c r="A7" s="18" t="n">
        <v>45992</v>
      </c>
      <c r="B7" s="19" t="s">
        <v>32</v>
      </c>
      <c r="C7" s="19" t="s">
        <v>33</v>
      </c>
      <c r="D7" s="19" t="s">
        <v>34</v>
      </c>
      <c r="E7" s="20"/>
      <c r="F7" s="21" t="n">
        <v>3200</v>
      </c>
      <c r="G7" s="21"/>
      <c r="H7" s="22"/>
      <c r="I7" s="23" t="str">
        <f aca="false">IF(AND(G7="",H7=""),"",IF(G7&lt;&gt;"",G7,H7/Listes!$D$5))</f>
        <v/>
      </c>
      <c r="J7" s="24" t="n">
        <f aca="false">IF(AND(F7="",G7="",H7=""),"",SUM(F$7:F7)-SUM(I$7:I7))</f>
        <v>3200</v>
      </c>
    </row>
    <row r="8" customFormat="false" ht="15" hidden="false" customHeight="false" outlineLevel="0" collapsed="false">
      <c r="A8" s="18" t="n">
        <v>46001</v>
      </c>
      <c r="B8" s="19" t="s">
        <v>32</v>
      </c>
      <c r="C8" s="19" t="s">
        <v>35</v>
      </c>
      <c r="D8" s="19" t="s">
        <v>36</v>
      </c>
      <c r="E8" s="20" t="s">
        <v>37</v>
      </c>
      <c r="F8" s="21"/>
      <c r="G8" s="21"/>
      <c r="H8" s="22" t="n">
        <v>170000</v>
      </c>
      <c r="I8" s="23" t="n">
        <f aca="false">IF(AND(G8="",H8=""),"",IF(G8&lt;&gt;"",G8,H8/Listes!$D$5))</f>
        <v>259.163329303598</v>
      </c>
      <c r="J8" s="24" t="n">
        <f aca="false">IF(AND(F8="",G8="",H8=""),"",SUM(F$7:F8)-SUM(I$7:I8))</f>
        <v>2940.8366706964</v>
      </c>
    </row>
    <row r="9" customFormat="false" ht="15" hidden="false" customHeight="false" outlineLevel="0" collapsed="false">
      <c r="A9" s="18" t="n">
        <v>46003</v>
      </c>
      <c r="B9" s="19" t="s">
        <v>32</v>
      </c>
      <c r="C9" s="19" t="s">
        <v>38</v>
      </c>
      <c r="D9" s="19" t="s">
        <v>39</v>
      </c>
      <c r="E9" s="20" t="s">
        <v>40</v>
      </c>
      <c r="F9" s="21"/>
      <c r="G9" s="21" t="n">
        <v>80</v>
      </c>
      <c r="H9" s="22"/>
      <c r="I9" s="23" t="n">
        <f aca="false">IF(AND(G9="",H9=""),"",IF(G9&lt;&gt;"",G9,H9/Listes!$D$5))</f>
        <v>80</v>
      </c>
      <c r="J9" s="24" t="n">
        <f aca="false">IF(AND(F9="",G9="",H9=""),"",SUM(F$7:F9)-SUM(I$7:I9))</f>
        <v>2860.8366706964</v>
      </c>
    </row>
    <row r="10" customFormat="false" ht="15" hidden="false" customHeight="false" outlineLevel="0" collapsed="false">
      <c r="A10" s="18"/>
      <c r="B10" s="19"/>
      <c r="C10" s="19"/>
      <c r="D10" s="19"/>
      <c r="E10" s="20"/>
      <c r="F10" s="21"/>
      <c r="G10" s="21"/>
      <c r="H10" s="22"/>
      <c r="I10" s="23" t="str">
        <f aca="false">IF(AND(G10="",H10=""),"",IF(G10&lt;&gt;"",G10,H10/Listes!$D$5))</f>
        <v/>
      </c>
      <c r="J10" s="24" t="str">
        <f aca="false">IF(AND(F10="",G10="",H10=""),"",SUM(F$7:F10)-SUM(I$7:I10))</f>
        <v/>
      </c>
    </row>
    <row r="11" customFormat="false" ht="15" hidden="false" customHeight="false" outlineLevel="0" collapsed="false">
      <c r="A11" s="18"/>
      <c r="B11" s="19"/>
      <c r="C11" s="19"/>
      <c r="D11" s="19"/>
      <c r="E11" s="20"/>
      <c r="F11" s="21"/>
      <c r="G11" s="21"/>
      <c r="H11" s="22"/>
      <c r="I11" s="23" t="str">
        <f aca="false">IF(AND(G11="",H11=""),"",IF(G11&lt;&gt;"",G11,H11/Listes!$D$5))</f>
        <v/>
      </c>
      <c r="J11" s="24" t="str">
        <f aca="false">IF(AND(F11="",G11="",H11=""),"",SUM(F$7:F11)-SUM(I$7:I11))</f>
        <v/>
      </c>
    </row>
    <row r="12" customFormat="false" ht="15" hidden="false" customHeight="false" outlineLevel="0" collapsed="false">
      <c r="A12" s="18"/>
      <c r="B12" s="19"/>
      <c r="C12" s="19"/>
      <c r="D12" s="19"/>
      <c r="E12" s="20"/>
      <c r="F12" s="21"/>
      <c r="G12" s="21"/>
      <c r="H12" s="22"/>
      <c r="I12" s="23" t="str">
        <f aca="false">IF(AND(G12="",H12=""),"",IF(G12&lt;&gt;"",G12,H12/Listes!$D$5))</f>
        <v/>
      </c>
      <c r="J12" s="24" t="str">
        <f aca="false">IF(AND(F12="",G12="",H12=""),"",SUM(F$7:F12)-SUM(I$7:I12))</f>
        <v/>
      </c>
    </row>
    <row r="13" customFormat="false" ht="15" hidden="false" customHeight="false" outlineLevel="0" collapsed="false">
      <c r="A13" s="18"/>
      <c r="B13" s="19"/>
      <c r="C13" s="19"/>
      <c r="D13" s="19"/>
      <c r="E13" s="20"/>
      <c r="F13" s="21"/>
      <c r="G13" s="21"/>
      <c r="H13" s="22"/>
      <c r="I13" s="23" t="str">
        <f aca="false">IF(AND(G13="",H13=""),"",IF(G13&lt;&gt;"",G13,H13/Listes!$D$5))</f>
        <v/>
      </c>
      <c r="J13" s="24" t="str">
        <f aca="false">IF(AND(F13="",G13="",H13=""),"",SUM(F$7:F13)-SUM(I$7:I13))</f>
        <v/>
      </c>
    </row>
    <row r="14" customFormat="false" ht="15" hidden="false" customHeight="false" outlineLevel="0" collapsed="false">
      <c r="A14" s="18"/>
      <c r="B14" s="19"/>
      <c r="C14" s="19"/>
      <c r="D14" s="19"/>
      <c r="E14" s="20"/>
      <c r="F14" s="21"/>
      <c r="G14" s="21"/>
      <c r="H14" s="22"/>
      <c r="I14" s="23" t="str">
        <f aca="false">IF(AND(G14="",H14=""),"",IF(G14&lt;&gt;"",G14,H14/Listes!$D$5))</f>
        <v/>
      </c>
      <c r="J14" s="24" t="str">
        <f aca="false">IF(AND(F14="",G14="",H14=""),"",SUM(F$7:F14)-SUM(I$7:I14))</f>
        <v/>
      </c>
    </row>
    <row r="15" customFormat="false" ht="15" hidden="false" customHeight="false" outlineLevel="0" collapsed="false">
      <c r="A15" s="18"/>
      <c r="B15" s="19"/>
      <c r="C15" s="19"/>
      <c r="D15" s="19"/>
      <c r="E15" s="20"/>
      <c r="F15" s="21"/>
      <c r="G15" s="21"/>
      <c r="H15" s="22"/>
      <c r="I15" s="23" t="str">
        <f aca="false">IF(AND(G15="",H15=""),"",IF(G15&lt;&gt;"",G15,H15/Listes!$D$5))</f>
        <v/>
      </c>
      <c r="J15" s="24" t="str">
        <f aca="false">IF(AND(F15="",G15="",H15=""),"",SUM(F$7:F15)-SUM(I$7:I15))</f>
        <v/>
      </c>
    </row>
    <row r="16" customFormat="false" ht="15" hidden="false" customHeight="false" outlineLevel="0" collapsed="false">
      <c r="A16" s="18"/>
      <c r="B16" s="19"/>
      <c r="C16" s="19"/>
      <c r="D16" s="19"/>
      <c r="E16" s="20"/>
      <c r="F16" s="21"/>
      <c r="G16" s="21"/>
      <c r="H16" s="22"/>
      <c r="I16" s="23" t="str">
        <f aca="false">IF(AND(G16="",H16=""),"",IF(G16&lt;&gt;"",G16,H16/Listes!$D$5))</f>
        <v/>
      </c>
      <c r="J16" s="24" t="str">
        <f aca="false">IF(AND(F16="",G16="",H16=""),"",SUM(F$7:F16)-SUM(I$7:I16))</f>
        <v/>
      </c>
    </row>
    <row r="17" customFormat="false" ht="15" hidden="false" customHeight="false" outlineLevel="0" collapsed="false">
      <c r="A17" s="18"/>
      <c r="B17" s="19"/>
      <c r="C17" s="19"/>
      <c r="D17" s="19"/>
      <c r="E17" s="20"/>
      <c r="F17" s="21"/>
      <c r="G17" s="21"/>
      <c r="H17" s="22"/>
      <c r="I17" s="23" t="str">
        <f aca="false">IF(AND(G17="",H17=""),"",IF(G17&lt;&gt;"",G17,H17/Listes!$D$5))</f>
        <v/>
      </c>
      <c r="J17" s="24" t="str">
        <f aca="false">IF(AND(F17="",G17="",H17=""),"",SUM(F$7:F17)-SUM(I$7:I17))</f>
        <v/>
      </c>
    </row>
    <row r="18" customFormat="false" ht="15" hidden="false" customHeight="false" outlineLevel="0" collapsed="false">
      <c r="A18" s="18"/>
      <c r="B18" s="19"/>
      <c r="C18" s="19"/>
      <c r="D18" s="19"/>
      <c r="E18" s="20"/>
      <c r="F18" s="21"/>
      <c r="G18" s="21"/>
      <c r="H18" s="22"/>
      <c r="I18" s="23" t="str">
        <f aca="false">IF(AND(G18="",H18=""),"",IF(G18&lt;&gt;"",G18,H18/Listes!$D$5))</f>
        <v/>
      </c>
      <c r="J18" s="24" t="str">
        <f aca="false">IF(AND(F18="",G18="",H18=""),"",SUM(F$7:F18)-SUM(I$7:I18))</f>
        <v/>
      </c>
    </row>
    <row r="19" customFormat="false" ht="15" hidden="false" customHeight="false" outlineLevel="0" collapsed="false">
      <c r="A19" s="18"/>
      <c r="B19" s="19"/>
      <c r="C19" s="19"/>
      <c r="D19" s="19"/>
      <c r="E19" s="20"/>
      <c r="F19" s="21"/>
      <c r="G19" s="21"/>
      <c r="H19" s="22"/>
      <c r="I19" s="23" t="str">
        <f aca="false">IF(AND(G19="",H19=""),"",IF(G19&lt;&gt;"",G19,H19/Listes!$D$5))</f>
        <v/>
      </c>
      <c r="J19" s="24" t="str">
        <f aca="false">IF(AND(F19="",G19="",H19=""),"",SUM(F$7:F19)-SUM(I$7:I19))</f>
        <v/>
      </c>
    </row>
    <row r="20" customFormat="false" ht="15" hidden="false" customHeight="false" outlineLevel="0" collapsed="false">
      <c r="A20" s="18"/>
      <c r="B20" s="19"/>
      <c r="C20" s="19"/>
      <c r="D20" s="19"/>
      <c r="E20" s="20"/>
      <c r="F20" s="21"/>
      <c r="G20" s="21"/>
      <c r="H20" s="22"/>
      <c r="I20" s="23" t="str">
        <f aca="false">IF(AND(G20="",H20=""),"",IF(G20&lt;&gt;"",G20,H20/Listes!$D$5))</f>
        <v/>
      </c>
      <c r="J20" s="24" t="str">
        <f aca="false">IF(AND(F20="",G20="",H20=""),"",SUM(F$7:F20)-SUM(I$7:I20))</f>
        <v/>
      </c>
    </row>
    <row r="21" customFormat="false" ht="15" hidden="false" customHeight="false" outlineLevel="0" collapsed="false">
      <c r="A21" s="18"/>
      <c r="B21" s="19"/>
      <c r="C21" s="19"/>
      <c r="D21" s="19"/>
      <c r="E21" s="20"/>
      <c r="F21" s="21"/>
      <c r="G21" s="21"/>
      <c r="H21" s="22"/>
      <c r="I21" s="23" t="str">
        <f aca="false">IF(AND(G21="",H21=""),"",IF(G21&lt;&gt;"",G21,H21/Listes!$D$5))</f>
        <v/>
      </c>
      <c r="J21" s="24" t="str">
        <f aca="false">IF(AND(F21="",G21="",H21=""),"",SUM(F$7:F21)-SUM(I$7:I21))</f>
        <v/>
      </c>
    </row>
    <row r="22" customFormat="false" ht="15" hidden="false" customHeight="false" outlineLevel="0" collapsed="false">
      <c r="A22" s="18"/>
      <c r="B22" s="19"/>
      <c r="C22" s="19"/>
      <c r="D22" s="19"/>
      <c r="E22" s="20"/>
      <c r="F22" s="21"/>
      <c r="G22" s="21"/>
      <c r="H22" s="22"/>
      <c r="I22" s="23" t="str">
        <f aca="false">IF(AND(G22="",H22=""),"",IF(G22&lt;&gt;"",G22,H22/Listes!$D$5))</f>
        <v/>
      </c>
      <c r="J22" s="24" t="str">
        <f aca="false">IF(AND(F22="",G22="",H22=""),"",SUM(F$7:F22)-SUM(I$7:I22))</f>
        <v/>
      </c>
    </row>
    <row r="23" customFormat="false" ht="15" hidden="false" customHeight="false" outlineLevel="0" collapsed="false">
      <c r="A23" s="18"/>
      <c r="B23" s="19"/>
      <c r="C23" s="19"/>
      <c r="D23" s="19"/>
      <c r="E23" s="20"/>
      <c r="F23" s="21"/>
      <c r="G23" s="21"/>
      <c r="H23" s="22"/>
      <c r="I23" s="23" t="str">
        <f aca="false">IF(AND(G23="",H23=""),"",IF(G23&lt;&gt;"",G23,H23/Listes!$D$5))</f>
        <v/>
      </c>
      <c r="J23" s="24" t="str">
        <f aca="false">IF(AND(F23="",G23="",H23=""),"",SUM(F$7:F23)-SUM(I$7:I23))</f>
        <v/>
      </c>
    </row>
    <row r="24" customFormat="false" ht="15" hidden="false" customHeight="false" outlineLevel="0" collapsed="false">
      <c r="A24" s="18"/>
      <c r="B24" s="19"/>
      <c r="C24" s="19"/>
      <c r="D24" s="19"/>
      <c r="E24" s="20"/>
      <c r="F24" s="21"/>
      <c r="G24" s="21"/>
      <c r="H24" s="22"/>
      <c r="I24" s="23" t="str">
        <f aca="false">IF(AND(G24="",H24=""),"",IF(G24&lt;&gt;"",G24,H24/Listes!$D$5))</f>
        <v/>
      </c>
      <c r="J24" s="24" t="str">
        <f aca="false">IF(AND(F24="",G24="",H24=""),"",SUM(F$7:F24)-SUM(I$7:I24))</f>
        <v/>
      </c>
    </row>
    <row r="25" customFormat="false" ht="15" hidden="false" customHeight="false" outlineLevel="0" collapsed="false">
      <c r="A25" s="18"/>
      <c r="B25" s="19"/>
      <c r="C25" s="19"/>
      <c r="D25" s="19"/>
      <c r="E25" s="20"/>
      <c r="F25" s="21"/>
      <c r="G25" s="21"/>
      <c r="H25" s="22"/>
      <c r="I25" s="23" t="str">
        <f aca="false">IF(AND(G25="",H25=""),"",IF(G25&lt;&gt;"",G25,H25/Listes!$D$5))</f>
        <v/>
      </c>
      <c r="J25" s="24" t="str">
        <f aca="false">IF(AND(F25="",G25="",H25=""),"",SUM(F$7:F25)-SUM(I$7:I25))</f>
        <v/>
      </c>
    </row>
    <row r="26" customFormat="false" ht="15" hidden="false" customHeight="false" outlineLevel="0" collapsed="false">
      <c r="A26" s="18"/>
      <c r="B26" s="19"/>
      <c r="C26" s="19"/>
      <c r="D26" s="19"/>
      <c r="E26" s="20"/>
      <c r="F26" s="21"/>
      <c r="G26" s="21"/>
      <c r="H26" s="22"/>
      <c r="I26" s="23" t="str">
        <f aca="false">IF(AND(G26="",H26=""),"",IF(G26&lt;&gt;"",G26,H26/Listes!$D$5))</f>
        <v/>
      </c>
      <c r="J26" s="24" t="str">
        <f aca="false">IF(AND(F26="",G26="",H26=""),"",SUM(F$7:F26)-SUM(I$7:I26))</f>
        <v/>
      </c>
    </row>
    <row r="27" customFormat="false" ht="15" hidden="false" customHeight="false" outlineLevel="0" collapsed="false">
      <c r="A27" s="18"/>
      <c r="B27" s="19"/>
      <c r="C27" s="19"/>
      <c r="D27" s="19"/>
      <c r="E27" s="20"/>
      <c r="F27" s="21"/>
      <c r="G27" s="21"/>
      <c r="H27" s="22"/>
      <c r="I27" s="23" t="str">
        <f aca="false">IF(AND(G27="",H27=""),"",IF(G27&lt;&gt;"",G27,H27/Listes!$D$5))</f>
        <v/>
      </c>
      <c r="J27" s="24" t="str">
        <f aca="false">IF(AND(F27="",G27="",H27=""),"",SUM(F$7:F27)-SUM(I$7:I27))</f>
        <v/>
      </c>
    </row>
    <row r="28" customFormat="false" ht="15" hidden="false" customHeight="false" outlineLevel="0" collapsed="false">
      <c r="A28" s="18"/>
      <c r="B28" s="19"/>
      <c r="C28" s="19"/>
      <c r="D28" s="19"/>
      <c r="E28" s="20"/>
      <c r="F28" s="21"/>
      <c r="G28" s="21"/>
      <c r="H28" s="22"/>
      <c r="I28" s="23" t="str">
        <f aca="false">IF(AND(G28="",H28=""),"",IF(G28&lt;&gt;"",G28,H28/Listes!$D$5))</f>
        <v/>
      </c>
      <c r="J28" s="24" t="str">
        <f aca="false">IF(AND(F28="",G28="",H28=""),"",SUM(F$7:F28)-SUM(I$7:I28))</f>
        <v/>
      </c>
    </row>
    <row r="29" customFormat="false" ht="15" hidden="false" customHeight="false" outlineLevel="0" collapsed="false">
      <c r="A29" s="18"/>
      <c r="B29" s="19"/>
      <c r="C29" s="19"/>
      <c r="D29" s="19"/>
      <c r="E29" s="20"/>
      <c r="F29" s="21"/>
      <c r="G29" s="21"/>
      <c r="H29" s="22"/>
      <c r="I29" s="23" t="str">
        <f aca="false">IF(AND(G29="",H29=""),"",IF(G29&lt;&gt;"",G29,H29/Listes!$D$5))</f>
        <v/>
      </c>
      <c r="J29" s="24" t="str">
        <f aca="false">IF(AND(F29="",G29="",H29=""),"",SUM(F$7:F29)-SUM(I$7:I29))</f>
        <v/>
      </c>
    </row>
    <row r="30" customFormat="false" ht="15" hidden="false" customHeight="false" outlineLevel="0" collapsed="false">
      <c r="A30" s="18"/>
      <c r="B30" s="19"/>
      <c r="C30" s="19"/>
      <c r="D30" s="19"/>
      <c r="E30" s="20"/>
      <c r="F30" s="21"/>
      <c r="G30" s="21"/>
      <c r="H30" s="22"/>
      <c r="I30" s="23" t="str">
        <f aca="false">IF(AND(G30="",H30=""),"",IF(G30&lt;&gt;"",G30,H30/Listes!$D$5))</f>
        <v/>
      </c>
      <c r="J30" s="24" t="str">
        <f aca="false">IF(AND(F30="",G30="",H30=""),"",SUM(F$7:F30)-SUM(I$7:I30))</f>
        <v/>
      </c>
    </row>
    <row r="31" customFormat="false" ht="15" hidden="false" customHeight="false" outlineLevel="0" collapsed="false">
      <c r="A31" s="18"/>
      <c r="B31" s="19"/>
      <c r="C31" s="19"/>
      <c r="D31" s="19"/>
      <c r="E31" s="20"/>
      <c r="F31" s="21"/>
      <c r="G31" s="21"/>
      <c r="H31" s="22"/>
      <c r="I31" s="23" t="str">
        <f aca="false">IF(AND(G31="",H31=""),"",IF(G31&lt;&gt;"",G31,H31/Listes!$D$5))</f>
        <v/>
      </c>
      <c r="J31" s="24" t="str">
        <f aca="false">IF(AND(F31="",G31="",H31=""),"",SUM(F$7:F31)-SUM(I$7:I31))</f>
        <v/>
      </c>
    </row>
    <row r="32" customFormat="false" ht="15" hidden="false" customHeight="false" outlineLevel="0" collapsed="false">
      <c r="A32" s="18"/>
      <c r="B32" s="19"/>
      <c r="C32" s="19"/>
      <c r="D32" s="19"/>
      <c r="E32" s="20"/>
      <c r="F32" s="21"/>
      <c r="G32" s="21"/>
      <c r="H32" s="22"/>
      <c r="I32" s="23" t="str">
        <f aca="false">IF(AND(G32="",H32=""),"",IF(G32&lt;&gt;"",G32,H32/Listes!$D$5))</f>
        <v/>
      </c>
      <c r="J32" s="24" t="str">
        <f aca="false">IF(AND(F32="",G32="",H32=""),"",SUM(F$7:F32)-SUM(I$7:I32))</f>
        <v/>
      </c>
    </row>
    <row r="33" customFormat="false" ht="15" hidden="false" customHeight="false" outlineLevel="0" collapsed="false">
      <c r="A33" s="18"/>
      <c r="B33" s="19"/>
      <c r="C33" s="19"/>
      <c r="D33" s="19"/>
      <c r="E33" s="20"/>
      <c r="F33" s="21"/>
      <c r="G33" s="21"/>
      <c r="H33" s="22"/>
      <c r="I33" s="23" t="str">
        <f aca="false">IF(AND(G33="",H33=""),"",IF(G33&lt;&gt;"",G33,H33/Listes!$D$5))</f>
        <v/>
      </c>
      <c r="J33" s="24" t="str">
        <f aca="false">IF(AND(F33="",G33="",H33=""),"",SUM(F$7:F33)-SUM(I$7:I33))</f>
        <v/>
      </c>
    </row>
    <row r="34" customFormat="false" ht="15" hidden="false" customHeight="false" outlineLevel="0" collapsed="false">
      <c r="A34" s="18"/>
      <c r="B34" s="19"/>
      <c r="C34" s="19"/>
      <c r="D34" s="19"/>
      <c r="E34" s="20"/>
      <c r="F34" s="21"/>
      <c r="G34" s="21"/>
      <c r="H34" s="22"/>
      <c r="I34" s="23" t="str">
        <f aca="false">IF(AND(G34="",H34=""),"",IF(G34&lt;&gt;"",G34,H34/Listes!$D$5))</f>
        <v/>
      </c>
      <c r="J34" s="24" t="str">
        <f aca="false">IF(AND(F34="",G34="",H34=""),"",SUM(F$7:F34)-SUM(I$7:I34))</f>
        <v/>
      </c>
    </row>
    <row r="35" customFormat="false" ht="15" hidden="false" customHeight="false" outlineLevel="0" collapsed="false">
      <c r="A35" s="18"/>
      <c r="B35" s="19"/>
      <c r="C35" s="19"/>
      <c r="D35" s="19"/>
      <c r="E35" s="20"/>
      <c r="F35" s="21"/>
      <c r="G35" s="21"/>
      <c r="H35" s="22"/>
      <c r="I35" s="23" t="str">
        <f aca="false">IF(AND(G35="",H35=""),"",IF(G35&lt;&gt;"",G35,H35/Listes!$D$5))</f>
        <v/>
      </c>
      <c r="J35" s="24" t="str">
        <f aca="false">IF(AND(F35="",G35="",H35=""),"",SUM(F$7:F35)-SUM(I$7:I35))</f>
        <v/>
      </c>
    </row>
    <row r="36" customFormat="false" ht="15" hidden="false" customHeight="false" outlineLevel="0" collapsed="false">
      <c r="A36" s="18"/>
      <c r="B36" s="19"/>
      <c r="C36" s="19"/>
      <c r="D36" s="19"/>
      <c r="E36" s="20"/>
      <c r="F36" s="21"/>
      <c r="G36" s="21"/>
      <c r="H36" s="22"/>
      <c r="I36" s="23" t="str">
        <f aca="false">IF(AND(G36="",H36=""),"",IF(G36&lt;&gt;"",G36,H36/Listes!$D$5))</f>
        <v/>
      </c>
      <c r="J36" s="24" t="str">
        <f aca="false">IF(AND(F36="",G36="",H36=""),"",SUM(F$7:F36)-SUM(I$7:I36))</f>
        <v/>
      </c>
    </row>
    <row r="37" customFormat="false" ht="15" hidden="false" customHeight="false" outlineLevel="0" collapsed="false">
      <c r="A37" s="18"/>
      <c r="B37" s="19"/>
      <c r="C37" s="19"/>
      <c r="D37" s="19"/>
      <c r="E37" s="20"/>
      <c r="F37" s="21"/>
      <c r="G37" s="21"/>
      <c r="H37" s="22"/>
      <c r="I37" s="23" t="str">
        <f aca="false">IF(AND(G37="",H37=""),"",IF(G37&lt;&gt;"",G37,H37/Listes!$D$5))</f>
        <v/>
      </c>
      <c r="J37" s="24" t="str">
        <f aca="false">IF(AND(F37="",G37="",H37=""),"",SUM(F$7:F37)-SUM(I$7:I37))</f>
        <v/>
      </c>
    </row>
    <row r="38" customFormat="false" ht="15" hidden="false" customHeight="false" outlineLevel="0" collapsed="false">
      <c r="A38" s="18"/>
      <c r="B38" s="19"/>
      <c r="C38" s="19"/>
      <c r="D38" s="19"/>
      <c r="E38" s="20"/>
      <c r="F38" s="21"/>
      <c r="G38" s="21"/>
      <c r="H38" s="22"/>
      <c r="I38" s="23" t="str">
        <f aca="false">IF(AND(G38="",H38=""),"",IF(G38&lt;&gt;"",G38,H38/Listes!$D$5))</f>
        <v/>
      </c>
      <c r="J38" s="24" t="str">
        <f aca="false">IF(AND(F38="",G38="",H38=""),"",SUM(F$7:F38)-SUM(I$7:I38))</f>
        <v/>
      </c>
    </row>
    <row r="39" customFormat="false" ht="15" hidden="false" customHeight="false" outlineLevel="0" collapsed="false">
      <c r="A39" s="18"/>
      <c r="B39" s="19"/>
      <c r="C39" s="19"/>
      <c r="D39" s="19"/>
      <c r="E39" s="20"/>
      <c r="F39" s="21"/>
      <c r="G39" s="21"/>
      <c r="H39" s="22"/>
      <c r="I39" s="23" t="str">
        <f aca="false">IF(AND(G39="",H39=""),"",IF(G39&lt;&gt;"",G39,H39/Listes!$D$5))</f>
        <v/>
      </c>
      <c r="J39" s="24" t="str">
        <f aca="false">IF(AND(F39="",G39="",H39=""),"",SUM(F$7:F39)-SUM(I$7:I39))</f>
        <v/>
      </c>
    </row>
    <row r="40" customFormat="false" ht="15" hidden="false" customHeight="false" outlineLevel="0" collapsed="false">
      <c r="A40" s="18"/>
      <c r="B40" s="19"/>
      <c r="C40" s="19"/>
      <c r="D40" s="19"/>
      <c r="E40" s="20"/>
      <c r="F40" s="21"/>
      <c r="G40" s="21"/>
      <c r="H40" s="22"/>
      <c r="I40" s="23" t="str">
        <f aca="false">IF(AND(G40="",H40=""),"",IF(G40&lt;&gt;"",G40,H40/Listes!$D$5))</f>
        <v/>
      </c>
      <c r="J40" s="24" t="str">
        <f aca="false">IF(AND(F40="",G40="",H40=""),"",SUM(F$7:F40)-SUM(I$7:I40))</f>
        <v/>
      </c>
    </row>
    <row r="41" customFormat="false" ht="15" hidden="false" customHeight="false" outlineLevel="0" collapsed="false">
      <c r="A41" s="18"/>
      <c r="B41" s="19"/>
      <c r="C41" s="19"/>
      <c r="D41" s="19"/>
      <c r="E41" s="20"/>
      <c r="F41" s="21"/>
      <c r="G41" s="21"/>
      <c r="H41" s="22"/>
      <c r="I41" s="23" t="str">
        <f aca="false">IF(AND(G41="",H41=""),"",IF(G41&lt;&gt;"",G41,H41/Listes!$D$5))</f>
        <v/>
      </c>
      <c r="J41" s="24" t="str">
        <f aca="false">IF(AND(F41="",G41="",H41=""),"",SUM(F$7:F41)-SUM(I$7:I41))</f>
        <v/>
      </c>
    </row>
    <row r="42" customFormat="false" ht="15" hidden="false" customHeight="false" outlineLevel="0" collapsed="false">
      <c r="A42" s="18"/>
      <c r="B42" s="19"/>
      <c r="C42" s="19"/>
      <c r="D42" s="19"/>
      <c r="E42" s="20"/>
      <c r="F42" s="21"/>
      <c r="G42" s="21"/>
      <c r="H42" s="22"/>
      <c r="I42" s="23" t="str">
        <f aca="false">IF(AND(G42="",H42=""),"",IF(G42&lt;&gt;"",G42,H42/Listes!$D$5))</f>
        <v/>
      </c>
      <c r="J42" s="24" t="str">
        <f aca="false">IF(AND(F42="",G42="",H42=""),"",SUM(F$7:F42)-SUM(I$7:I42))</f>
        <v/>
      </c>
    </row>
    <row r="43" customFormat="false" ht="15" hidden="false" customHeight="false" outlineLevel="0" collapsed="false">
      <c r="A43" s="18"/>
      <c r="B43" s="19"/>
      <c r="C43" s="19"/>
      <c r="D43" s="19"/>
      <c r="E43" s="20"/>
      <c r="F43" s="21"/>
      <c r="G43" s="21"/>
      <c r="H43" s="22"/>
      <c r="I43" s="23" t="str">
        <f aca="false">IF(AND(G43="",H43=""),"",IF(G43&lt;&gt;"",G43,H43/Listes!$D$5))</f>
        <v/>
      </c>
      <c r="J43" s="24" t="str">
        <f aca="false">IF(AND(F43="",G43="",H43=""),"",SUM(F$7:F43)-SUM(I$7:I43))</f>
        <v/>
      </c>
    </row>
    <row r="44" customFormat="false" ht="15" hidden="false" customHeight="false" outlineLevel="0" collapsed="false">
      <c r="A44" s="18"/>
      <c r="B44" s="19"/>
      <c r="C44" s="19"/>
      <c r="D44" s="19"/>
      <c r="E44" s="20"/>
      <c r="F44" s="21"/>
      <c r="G44" s="21"/>
      <c r="H44" s="22"/>
      <c r="I44" s="23" t="str">
        <f aca="false">IF(AND(G44="",H44=""),"",IF(G44&lt;&gt;"",G44,H44/Listes!$D$5))</f>
        <v/>
      </c>
      <c r="J44" s="24" t="str">
        <f aca="false">IF(AND(F44="",G44="",H44=""),"",SUM(F$7:F44)-SUM(I$7:I44))</f>
        <v/>
      </c>
    </row>
    <row r="45" customFormat="false" ht="15" hidden="false" customHeight="false" outlineLevel="0" collapsed="false">
      <c r="A45" s="18"/>
      <c r="B45" s="19"/>
      <c r="C45" s="19"/>
      <c r="D45" s="19"/>
      <c r="E45" s="20"/>
      <c r="F45" s="21"/>
      <c r="G45" s="21"/>
      <c r="H45" s="22"/>
      <c r="I45" s="23" t="str">
        <f aca="false">IF(AND(G45="",H45=""),"",IF(G45&lt;&gt;"",G45,H45/Listes!$D$5))</f>
        <v/>
      </c>
      <c r="J45" s="24" t="str">
        <f aca="false">IF(AND(F45="",G45="",H45=""),"",SUM(F$7:F45)-SUM(I$7:I45))</f>
        <v/>
      </c>
    </row>
    <row r="46" customFormat="false" ht="15" hidden="false" customHeight="false" outlineLevel="0" collapsed="false">
      <c r="A46" s="18"/>
      <c r="B46" s="19"/>
      <c r="C46" s="19"/>
      <c r="D46" s="19"/>
      <c r="E46" s="20"/>
      <c r="F46" s="21"/>
      <c r="G46" s="21"/>
      <c r="H46" s="22"/>
      <c r="I46" s="23" t="str">
        <f aca="false">IF(AND(G46="",H46=""),"",IF(G46&lt;&gt;"",G46,H46/Listes!$D$5))</f>
        <v/>
      </c>
      <c r="J46" s="24" t="str">
        <f aca="false">IF(AND(F46="",G46="",H46=""),"",SUM(F$7:F46)-SUM(I$7:I46))</f>
        <v/>
      </c>
    </row>
    <row r="47" customFormat="false" ht="15" hidden="false" customHeight="false" outlineLevel="0" collapsed="false">
      <c r="A47" s="18"/>
      <c r="B47" s="19"/>
      <c r="C47" s="19"/>
      <c r="D47" s="19"/>
      <c r="E47" s="20"/>
      <c r="F47" s="21"/>
      <c r="G47" s="21"/>
      <c r="H47" s="22"/>
      <c r="I47" s="23" t="str">
        <f aca="false">IF(AND(G47="",H47=""),"",IF(G47&lt;&gt;"",G47,H47/Listes!$D$5))</f>
        <v/>
      </c>
      <c r="J47" s="24" t="str">
        <f aca="false">IF(AND(F47="",G47="",H47=""),"",SUM(F$7:F47)-SUM(I$7:I47))</f>
        <v/>
      </c>
    </row>
    <row r="48" customFormat="false" ht="15" hidden="false" customHeight="false" outlineLevel="0" collapsed="false">
      <c r="A48" s="18"/>
      <c r="B48" s="19"/>
      <c r="C48" s="19"/>
      <c r="D48" s="19"/>
      <c r="E48" s="20"/>
      <c r="F48" s="21"/>
      <c r="G48" s="21"/>
      <c r="H48" s="22"/>
      <c r="I48" s="23" t="str">
        <f aca="false">IF(AND(G48="",H48=""),"",IF(G48&lt;&gt;"",G48,H48/Listes!$D$5))</f>
        <v/>
      </c>
      <c r="J48" s="24" t="str">
        <f aca="false">IF(AND(F48="",G48="",H48=""),"",SUM(F$7:F48)-SUM(I$7:I48))</f>
        <v/>
      </c>
    </row>
    <row r="49" customFormat="false" ht="15" hidden="false" customHeight="false" outlineLevel="0" collapsed="false">
      <c r="A49" s="18"/>
      <c r="B49" s="19"/>
      <c r="C49" s="19"/>
      <c r="D49" s="19"/>
      <c r="E49" s="20"/>
      <c r="F49" s="21"/>
      <c r="G49" s="21"/>
      <c r="H49" s="22"/>
      <c r="I49" s="23" t="str">
        <f aca="false">IF(AND(G49="",H49=""),"",IF(G49&lt;&gt;"",G49,H49/Listes!$D$5))</f>
        <v/>
      </c>
      <c r="J49" s="24" t="str">
        <f aca="false">IF(AND(F49="",G49="",H49=""),"",SUM(F$7:F49)-SUM(I$7:I49))</f>
        <v/>
      </c>
    </row>
    <row r="50" customFormat="false" ht="15" hidden="false" customHeight="false" outlineLevel="0" collapsed="false">
      <c r="A50" s="18"/>
      <c r="B50" s="19"/>
      <c r="C50" s="19"/>
      <c r="D50" s="19"/>
      <c r="E50" s="20"/>
      <c r="F50" s="21"/>
      <c r="G50" s="21"/>
      <c r="H50" s="22"/>
      <c r="I50" s="23" t="str">
        <f aca="false">IF(AND(G50="",H50=""),"",IF(G50&lt;&gt;"",G50,H50/Listes!$D$5))</f>
        <v/>
      </c>
      <c r="J50" s="24" t="str">
        <f aca="false">IF(AND(F50="",G50="",H50=""),"",SUM(F$7:F50)-SUM(I$7:I50))</f>
        <v/>
      </c>
    </row>
    <row r="51" customFormat="false" ht="15" hidden="false" customHeight="false" outlineLevel="0" collapsed="false">
      <c r="A51" s="18"/>
      <c r="B51" s="19"/>
      <c r="C51" s="19"/>
      <c r="D51" s="19"/>
      <c r="E51" s="20"/>
      <c r="F51" s="21"/>
      <c r="G51" s="21"/>
      <c r="H51" s="22"/>
      <c r="I51" s="23" t="str">
        <f aca="false">IF(AND(G51="",H51=""),"",IF(G51&lt;&gt;"",G51,H51/Listes!$D$5))</f>
        <v/>
      </c>
      <c r="J51" s="24" t="str">
        <f aca="false">IF(AND(F51="",G51="",H51=""),"",SUM(F$7:F51)-SUM(I$7:I51))</f>
        <v/>
      </c>
    </row>
    <row r="52" customFormat="false" ht="15" hidden="false" customHeight="false" outlineLevel="0" collapsed="false">
      <c r="A52" s="18"/>
      <c r="B52" s="19"/>
      <c r="C52" s="19"/>
      <c r="D52" s="19"/>
      <c r="E52" s="20"/>
      <c r="F52" s="21"/>
      <c r="G52" s="21"/>
      <c r="H52" s="22"/>
      <c r="I52" s="23" t="str">
        <f aca="false">IF(AND(G52="",H52=""),"",IF(G52&lt;&gt;"",G52,H52/Listes!$D$5))</f>
        <v/>
      </c>
      <c r="J52" s="24" t="str">
        <f aca="false">IF(AND(F52="",G52="",H52=""),"",SUM(F$7:F52)-SUM(I$7:I52))</f>
        <v/>
      </c>
    </row>
    <row r="53" customFormat="false" ht="15" hidden="false" customHeight="false" outlineLevel="0" collapsed="false">
      <c r="A53" s="18"/>
      <c r="B53" s="19"/>
      <c r="C53" s="19"/>
      <c r="D53" s="19"/>
      <c r="E53" s="20"/>
      <c r="F53" s="21"/>
      <c r="G53" s="21"/>
      <c r="H53" s="22"/>
      <c r="I53" s="23" t="str">
        <f aca="false">IF(AND(G53="",H53=""),"",IF(G53&lt;&gt;"",G53,H53/Listes!$D$5))</f>
        <v/>
      </c>
      <c r="J53" s="24" t="str">
        <f aca="false">IF(AND(F53="",G53="",H53=""),"",SUM(F$7:F53)-SUM(I$7:I53))</f>
        <v/>
      </c>
    </row>
    <row r="54" customFormat="false" ht="15" hidden="false" customHeight="false" outlineLevel="0" collapsed="false">
      <c r="A54" s="18"/>
      <c r="B54" s="19"/>
      <c r="C54" s="19"/>
      <c r="D54" s="19"/>
      <c r="E54" s="20"/>
      <c r="F54" s="21"/>
      <c r="G54" s="21"/>
      <c r="H54" s="22"/>
      <c r="I54" s="23" t="str">
        <f aca="false">IF(AND(G54="",H54=""),"",IF(G54&lt;&gt;"",G54,H54/Listes!$D$5))</f>
        <v/>
      </c>
      <c r="J54" s="24" t="str">
        <f aca="false">IF(AND(F54="",G54="",H54=""),"",SUM(F$7:F54)-SUM(I$7:I54))</f>
        <v/>
      </c>
    </row>
    <row r="55" customFormat="false" ht="15" hidden="false" customHeight="false" outlineLevel="0" collapsed="false">
      <c r="A55" s="18"/>
      <c r="B55" s="19"/>
      <c r="C55" s="19"/>
      <c r="D55" s="19"/>
      <c r="E55" s="20"/>
      <c r="F55" s="21"/>
      <c r="G55" s="21"/>
      <c r="H55" s="22"/>
      <c r="I55" s="23" t="str">
        <f aca="false">IF(AND(G55="",H55=""),"",IF(G55&lt;&gt;"",G55,H55/Listes!$D$5))</f>
        <v/>
      </c>
      <c r="J55" s="24" t="str">
        <f aca="false">IF(AND(F55="",G55="",H55=""),"",SUM(F$7:F55)-SUM(I$7:I55))</f>
        <v/>
      </c>
    </row>
    <row r="56" customFormat="false" ht="15" hidden="false" customHeight="false" outlineLevel="0" collapsed="false">
      <c r="A56" s="18"/>
      <c r="B56" s="19"/>
      <c r="C56" s="19"/>
      <c r="D56" s="19"/>
      <c r="E56" s="20"/>
      <c r="F56" s="21"/>
      <c r="G56" s="21"/>
      <c r="H56" s="22"/>
      <c r="I56" s="23" t="str">
        <f aca="false">IF(AND(G56="",H56=""),"",IF(G56&lt;&gt;"",G56,H56/Listes!$D$5))</f>
        <v/>
      </c>
      <c r="J56" s="24" t="str">
        <f aca="false">IF(AND(F56="",G56="",H56=""),"",SUM(F$7:F56)-SUM(I$7:I56))</f>
        <v/>
      </c>
    </row>
    <row r="57" customFormat="false" ht="15" hidden="false" customHeight="false" outlineLevel="0" collapsed="false">
      <c r="A57" s="18"/>
      <c r="B57" s="19"/>
      <c r="C57" s="19"/>
      <c r="D57" s="19"/>
      <c r="E57" s="20"/>
      <c r="F57" s="21"/>
      <c r="G57" s="21"/>
      <c r="H57" s="22"/>
      <c r="I57" s="23" t="str">
        <f aca="false">IF(AND(G57="",H57=""),"",IF(G57&lt;&gt;"",G57,H57/Listes!$D$5))</f>
        <v/>
      </c>
      <c r="J57" s="24" t="str">
        <f aca="false">IF(AND(F57="",G57="",H57=""),"",SUM(F$7:F57)-SUM(I$7:I57))</f>
        <v/>
      </c>
    </row>
    <row r="58" customFormat="false" ht="15" hidden="false" customHeight="false" outlineLevel="0" collapsed="false">
      <c r="A58" s="18"/>
      <c r="B58" s="19"/>
      <c r="C58" s="19"/>
      <c r="D58" s="19"/>
      <c r="E58" s="20"/>
      <c r="F58" s="21"/>
      <c r="G58" s="21"/>
      <c r="H58" s="22"/>
      <c r="I58" s="23" t="str">
        <f aca="false">IF(AND(G58="",H58=""),"",IF(G58&lt;&gt;"",G58,H58/Listes!$D$5))</f>
        <v/>
      </c>
      <c r="J58" s="24" t="str">
        <f aca="false">IF(AND(F58="",G58="",H58=""),"",SUM(F$7:F58)-SUM(I$7:I58))</f>
        <v/>
      </c>
    </row>
    <row r="59" customFormat="false" ht="15" hidden="false" customHeight="false" outlineLevel="0" collapsed="false">
      <c r="A59" s="18"/>
      <c r="B59" s="19"/>
      <c r="C59" s="19"/>
      <c r="D59" s="19"/>
      <c r="E59" s="20"/>
      <c r="F59" s="21"/>
      <c r="G59" s="21"/>
      <c r="H59" s="22"/>
      <c r="I59" s="23" t="str">
        <f aca="false">IF(AND(G59="",H59=""),"",IF(G59&lt;&gt;"",G59,H59/Listes!$D$5))</f>
        <v/>
      </c>
      <c r="J59" s="24" t="str">
        <f aca="false">IF(AND(F59="",G59="",H59=""),"",SUM(F$7:F59)-SUM(I$7:I59))</f>
        <v/>
      </c>
    </row>
    <row r="60" customFormat="false" ht="15" hidden="false" customHeight="false" outlineLevel="0" collapsed="false">
      <c r="A60" s="18"/>
      <c r="B60" s="19"/>
      <c r="C60" s="19"/>
      <c r="D60" s="19"/>
      <c r="E60" s="20"/>
      <c r="F60" s="21"/>
      <c r="G60" s="21"/>
      <c r="H60" s="22"/>
      <c r="I60" s="23" t="str">
        <f aca="false">IF(AND(G60="",H60=""),"",IF(G60&lt;&gt;"",G60,H60/Listes!$D$5))</f>
        <v/>
      </c>
      <c r="J60" s="24" t="str">
        <f aca="false">IF(AND(F60="",G60="",H60=""),"",SUM(F$7:F60)-SUM(I$7:I60))</f>
        <v/>
      </c>
    </row>
    <row r="61" customFormat="false" ht="15" hidden="false" customHeight="false" outlineLevel="0" collapsed="false">
      <c r="A61" s="18"/>
      <c r="B61" s="19"/>
      <c r="C61" s="19"/>
      <c r="D61" s="19"/>
      <c r="E61" s="20"/>
      <c r="F61" s="21"/>
      <c r="G61" s="21"/>
      <c r="H61" s="22"/>
      <c r="I61" s="23" t="str">
        <f aca="false">IF(AND(G61="",H61=""),"",IF(G61&lt;&gt;"",G61,H61/Listes!$D$5))</f>
        <v/>
      </c>
      <c r="J61" s="24" t="str">
        <f aca="false">IF(AND(F61="",G61="",H61=""),"",SUM(F$7:F61)-SUM(I$7:I61))</f>
        <v/>
      </c>
    </row>
    <row r="62" customFormat="false" ht="15" hidden="false" customHeight="false" outlineLevel="0" collapsed="false">
      <c r="A62" s="18"/>
      <c r="B62" s="19"/>
      <c r="C62" s="19"/>
      <c r="D62" s="19"/>
      <c r="E62" s="20"/>
      <c r="F62" s="21"/>
      <c r="G62" s="21"/>
      <c r="H62" s="22"/>
      <c r="I62" s="23" t="str">
        <f aca="false">IF(AND(G62="",H62=""),"",IF(G62&lt;&gt;"",G62,H62/Listes!$D$5))</f>
        <v/>
      </c>
      <c r="J62" s="24" t="str">
        <f aca="false">IF(AND(F62="",G62="",H62=""),"",SUM(F$7:F62)-SUM(I$7:I62))</f>
        <v/>
      </c>
    </row>
    <row r="63" customFormat="false" ht="15" hidden="false" customHeight="false" outlineLevel="0" collapsed="false">
      <c r="A63" s="18"/>
      <c r="B63" s="19"/>
      <c r="C63" s="19"/>
      <c r="D63" s="19"/>
      <c r="E63" s="20"/>
      <c r="F63" s="21"/>
      <c r="G63" s="21"/>
      <c r="H63" s="22"/>
      <c r="I63" s="23" t="str">
        <f aca="false">IF(AND(G63="",H63=""),"",IF(G63&lt;&gt;"",G63,H63/Listes!$D$5))</f>
        <v/>
      </c>
      <c r="J63" s="24" t="str">
        <f aca="false">IF(AND(F63="",G63="",H63=""),"",SUM(F$7:F63)-SUM(I$7:I63))</f>
        <v/>
      </c>
    </row>
    <row r="64" customFormat="false" ht="15" hidden="false" customHeight="false" outlineLevel="0" collapsed="false">
      <c r="A64" s="18"/>
      <c r="B64" s="19"/>
      <c r="C64" s="19"/>
      <c r="D64" s="19"/>
      <c r="E64" s="20"/>
      <c r="F64" s="21"/>
      <c r="G64" s="21"/>
      <c r="H64" s="22"/>
      <c r="I64" s="23" t="str">
        <f aca="false">IF(AND(G64="",H64=""),"",IF(G64&lt;&gt;"",G64,H64/Listes!$D$5))</f>
        <v/>
      </c>
      <c r="J64" s="24" t="str">
        <f aca="false">IF(AND(F64="",G64="",H64=""),"",SUM(F$7:F64)-SUM(I$7:I64))</f>
        <v/>
      </c>
    </row>
    <row r="65" customFormat="false" ht="15" hidden="false" customHeight="false" outlineLevel="0" collapsed="false">
      <c r="A65" s="18"/>
      <c r="B65" s="19"/>
      <c r="C65" s="19"/>
      <c r="D65" s="19"/>
      <c r="E65" s="20"/>
      <c r="F65" s="21"/>
      <c r="G65" s="21"/>
      <c r="H65" s="22"/>
      <c r="I65" s="23" t="str">
        <f aca="false">IF(AND(G65="",H65=""),"",IF(G65&lt;&gt;"",G65,H65/Listes!$D$5))</f>
        <v/>
      </c>
      <c r="J65" s="24" t="str">
        <f aca="false">IF(AND(F65="",G65="",H65=""),"",SUM(F$7:F65)-SUM(I$7:I65))</f>
        <v/>
      </c>
    </row>
    <row r="66" customFormat="false" ht="15" hidden="false" customHeight="false" outlineLevel="0" collapsed="false">
      <c r="A66" s="18"/>
      <c r="B66" s="19"/>
      <c r="C66" s="19"/>
      <c r="D66" s="19"/>
      <c r="E66" s="20"/>
      <c r="F66" s="21"/>
      <c r="G66" s="21"/>
      <c r="H66" s="22"/>
      <c r="I66" s="23" t="str">
        <f aca="false">IF(AND(G66="",H66=""),"",IF(G66&lt;&gt;"",G66,H66/Listes!$D$5))</f>
        <v/>
      </c>
      <c r="J66" s="24" t="str">
        <f aca="false">IF(AND(F66="",G66="",H66=""),"",SUM(F$7:F66)-SUM(I$7:I66))</f>
        <v/>
      </c>
    </row>
    <row r="67" customFormat="false" ht="15" hidden="false" customHeight="false" outlineLevel="0" collapsed="false">
      <c r="A67" s="18"/>
      <c r="B67" s="19"/>
      <c r="C67" s="19"/>
      <c r="D67" s="19"/>
      <c r="E67" s="20"/>
      <c r="F67" s="21"/>
      <c r="G67" s="21"/>
      <c r="H67" s="22"/>
      <c r="I67" s="23" t="str">
        <f aca="false">IF(AND(G67="",H67=""),"",IF(G67&lt;&gt;"",G67,H67/Listes!$D$5))</f>
        <v/>
      </c>
      <c r="J67" s="24" t="str">
        <f aca="false">IF(AND(F67="",G67="",H67=""),"",SUM(F$7:F67)-SUM(I$7:I67))</f>
        <v/>
      </c>
    </row>
    <row r="68" customFormat="false" ht="15" hidden="false" customHeight="false" outlineLevel="0" collapsed="false">
      <c r="A68" s="18"/>
      <c r="B68" s="19"/>
      <c r="C68" s="19"/>
      <c r="D68" s="19"/>
      <c r="E68" s="20"/>
      <c r="F68" s="21"/>
      <c r="G68" s="21"/>
      <c r="H68" s="22"/>
      <c r="I68" s="23" t="str">
        <f aca="false">IF(AND(G68="",H68=""),"",IF(G68&lt;&gt;"",G68,H68/Listes!$D$5))</f>
        <v/>
      </c>
      <c r="J68" s="24" t="str">
        <f aca="false">IF(AND(F68="",G68="",H68=""),"",SUM(F$7:F68)-SUM(I$7:I68))</f>
        <v/>
      </c>
    </row>
    <row r="69" customFormat="false" ht="15" hidden="false" customHeight="false" outlineLevel="0" collapsed="false">
      <c r="A69" s="18"/>
      <c r="B69" s="19"/>
      <c r="C69" s="19"/>
      <c r="D69" s="19"/>
      <c r="E69" s="20"/>
      <c r="F69" s="21"/>
      <c r="G69" s="21"/>
      <c r="H69" s="22"/>
      <c r="I69" s="23" t="str">
        <f aca="false">IF(AND(G69="",H69=""),"",IF(G69&lt;&gt;"",G69,H69/Listes!$D$5))</f>
        <v/>
      </c>
      <c r="J69" s="24" t="str">
        <f aca="false">IF(AND(F69="",G69="",H69=""),"",SUM(F$7:F69)-SUM(I$7:I69))</f>
        <v/>
      </c>
    </row>
    <row r="70" customFormat="false" ht="15" hidden="false" customHeight="false" outlineLevel="0" collapsed="false">
      <c r="A70" s="18"/>
      <c r="B70" s="19"/>
      <c r="C70" s="19"/>
      <c r="D70" s="19"/>
      <c r="E70" s="20"/>
      <c r="F70" s="21"/>
      <c r="G70" s="21"/>
      <c r="H70" s="22"/>
      <c r="I70" s="23" t="str">
        <f aca="false">IF(AND(G70="",H70=""),"",IF(G70&lt;&gt;"",G70,H70/Listes!$D$5))</f>
        <v/>
      </c>
      <c r="J70" s="24" t="str">
        <f aca="false">IF(AND(F70="",G70="",H70=""),"",SUM(F$7:F70)-SUM(I$7:I70))</f>
        <v/>
      </c>
    </row>
    <row r="71" customFormat="false" ht="15" hidden="false" customHeight="false" outlineLevel="0" collapsed="false">
      <c r="A71" s="18"/>
      <c r="B71" s="19"/>
      <c r="C71" s="19"/>
      <c r="D71" s="19"/>
      <c r="E71" s="20"/>
      <c r="F71" s="21"/>
      <c r="G71" s="21"/>
      <c r="H71" s="22"/>
      <c r="I71" s="23" t="str">
        <f aca="false">IF(AND(G71="",H71=""),"",IF(G71&lt;&gt;"",G71,H71/Listes!$D$5))</f>
        <v/>
      </c>
      <c r="J71" s="24" t="str">
        <f aca="false">IF(AND(F71="",G71="",H71=""),"",SUM(F$7:F71)-SUM(I$7:I71))</f>
        <v/>
      </c>
    </row>
    <row r="72" customFormat="false" ht="15" hidden="false" customHeight="false" outlineLevel="0" collapsed="false">
      <c r="A72" s="18"/>
      <c r="B72" s="19"/>
      <c r="C72" s="19"/>
      <c r="D72" s="19"/>
      <c r="E72" s="20"/>
      <c r="F72" s="21"/>
      <c r="G72" s="21"/>
      <c r="H72" s="22"/>
      <c r="I72" s="23" t="str">
        <f aca="false">IF(AND(G72="",H72=""),"",IF(G72&lt;&gt;"",G72,H72/Listes!$D$5))</f>
        <v/>
      </c>
      <c r="J72" s="24" t="str">
        <f aca="false">IF(AND(F72="",G72="",H72=""),"",SUM(F$7:F72)-SUM(I$7:I72))</f>
        <v/>
      </c>
    </row>
    <row r="73" customFormat="false" ht="15" hidden="false" customHeight="false" outlineLevel="0" collapsed="false">
      <c r="A73" s="18"/>
      <c r="B73" s="19"/>
      <c r="C73" s="19"/>
      <c r="D73" s="19"/>
      <c r="E73" s="20"/>
      <c r="F73" s="21"/>
      <c r="G73" s="21"/>
      <c r="H73" s="22"/>
      <c r="I73" s="23" t="str">
        <f aca="false">IF(AND(G73="",H73=""),"",IF(G73&lt;&gt;"",G73,H73/Listes!$D$5))</f>
        <v/>
      </c>
      <c r="J73" s="24" t="str">
        <f aca="false">IF(AND(F73="",G73="",H73=""),"",SUM(F$7:F73)-SUM(I$7:I73))</f>
        <v/>
      </c>
    </row>
    <row r="74" customFormat="false" ht="15" hidden="false" customHeight="false" outlineLevel="0" collapsed="false">
      <c r="A74" s="18"/>
      <c r="B74" s="19"/>
      <c r="C74" s="19"/>
      <c r="D74" s="19"/>
      <c r="E74" s="20"/>
      <c r="F74" s="21"/>
      <c r="G74" s="21"/>
      <c r="H74" s="22"/>
      <c r="I74" s="23" t="str">
        <f aca="false">IF(AND(G74="",H74=""),"",IF(G74&lt;&gt;"",G74,H74/Listes!$D$5))</f>
        <v/>
      </c>
      <c r="J74" s="24" t="str">
        <f aca="false">IF(AND(F74="",G74="",H74=""),"",SUM(F$7:F74)-SUM(I$7:I74))</f>
        <v/>
      </c>
    </row>
    <row r="75" customFormat="false" ht="15" hidden="false" customHeight="false" outlineLevel="0" collapsed="false">
      <c r="A75" s="18"/>
      <c r="B75" s="19"/>
      <c r="C75" s="19"/>
      <c r="D75" s="19"/>
      <c r="E75" s="20"/>
      <c r="F75" s="21"/>
      <c r="G75" s="21"/>
      <c r="H75" s="22"/>
      <c r="I75" s="23" t="str">
        <f aca="false">IF(AND(G75="",H75=""),"",IF(G75&lt;&gt;"",G75,H75/Listes!$D$5))</f>
        <v/>
      </c>
      <c r="J75" s="24" t="str">
        <f aca="false">IF(AND(F75="",G75="",H75=""),"",SUM(F$7:F75)-SUM(I$7:I75))</f>
        <v/>
      </c>
    </row>
    <row r="76" customFormat="false" ht="15" hidden="false" customHeight="false" outlineLevel="0" collapsed="false">
      <c r="A76" s="18"/>
      <c r="B76" s="19"/>
      <c r="C76" s="19"/>
      <c r="D76" s="19"/>
      <c r="E76" s="20"/>
      <c r="F76" s="21"/>
      <c r="G76" s="21"/>
      <c r="H76" s="22"/>
      <c r="I76" s="23" t="str">
        <f aca="false">IF(AND(G76="",H76=""),"",IF(G76&lt;&gt;"",G76,H76/Listes!$D$5))</f>
        <v/>
      </c>
      <c r="J76" s="24" t="str">
        <f aca="false">IF(AND(F76="",G76="",H76=""),"",SUM(F$7:F76)-SUM(I$7:I76))</f>
        <v/>
      </c>
    </row>
    <row r="77" customFormat="false" ht="15" hidden="false" customHeight="false" outlineLevel="0" collapsed="false">
      <c r="A77" s="18"/>
      <c r="B77" s="19"/>
      <c r="C77" s="19"/>
      <c r="D77" s="19"/>
      <c r="E77" s="20"/>
      <c r="F77" s="21"/>
      <c r="G77" s="21"/>
      <c r="H77" s="22"/>
      <c r="I77" s="23" t="str">
        <f aca="false">IF(AND(G77="",H77=""),"",IF(G77&lt;&gt;"",G77,H77/Listes!$D$5))</f>
        <v/>
      </c>
      <c r="J77" s="24" t="str">
        <f aca="false">IF(AND(F77="",G77="",H77=""),"",SUM(F$7:F77)-SUM(I$7:I77))</f>
        <v/>
      </c>
    </row>
    <row r="78" customFormat="false" ht="15" hidden="false" customHeight="false" outlineLevel="0" collapsed="false">
      <c r="A78" s="18"/>
      <c r="B78" s="19"/>
      <c r="C78" s="19"/>
      <c r="D78" s="19"/>
      <c r="E78" s="20"/>
      <c r="F78" s="21"/>
      <c r="G78" s="21"/>
      <c r="H78" s="22"/>
      <c r="I78" s="23" t="str">
        <f aca="false">IF(AND(G78="",H78=""),"",IF(G78&lt;&gt;"",G78,H78/Listes!$D$5))</f>
        <v/>
      </c>
      <c r="J78" s="24" t="str">
        <f aca="false">IF(AND(F78="",G78="",H78=""),"",SUM(F$7:F78)-SUM(I$7:I78))</f>
        <v/>
      </c>
    </row>
    <row r="79" customFormat="false" ht="15" hidden="false" customHeight="false" outlineLevel="0" collapsed="false">
      <c r="A79" s="18"/>
      <c r="B79" s="19"/>
      <c r="C79" s="19"/>
      <c r="D79" s="19"/>
      <c r="E79" s="20"/>
      <c r="F79" s="21"/>
      <c r="G79" s="21"/>
      <c r="H79" s="22"/>
      <c r="I79" s="23" t="str">
        <f aca="false">IF(AND(G79="",H79=""),"",IF(G79&lt;&gt;"",G79,H79/Listes!$D$5))</f>
        <v/>
      </c>
      <c r="J79" s="24" t="str">
        <f aca="false">IF(AND(F79="",G79="",H79=""),"",SUM(F$7:F79)-SUM(I$7:I79))</f>
        <v/>
      </c>
    </row>
    <row r="80" customFormat="false" ht="15" hidden="false" customHeight="false" outlineLevel="0" collapsed="false">
      <c r="A80" s="18"/>
      <c r="B80" s="19"/>
      <c r="C80" s="19"/>
      <c r="D80" s="19"/>
      <c r="E80" s="20"/>
      <c r="F80" s="21"/>
      <c r="G80" s="21"/>
      <c r="H80" s="22"/>
      <c r="I80" s="23" t="str">
        <f aca="false">IF(AND(G80="",H80=""),"",IF(G80&lt;&gt;"",G80,H80/Listes!$D$5))</f>
        <v/>
      </c>
      <c r="J80" s="24" t="str">
        <f aca="false">IF(AND(F80="",G80="",H80=""),"",SUM(F$7:F80)-SUM(I$7:I80))</f>
        <v/>
      </c>
    </row>
    <row r="81" customFormat="false" ht="15" hidden="false" customHeight="false" outlineLevel="0" collapsed="false">
      <c r="A81" s="18"/>
      <c r="B81" s="19"/>
      <c r="C81" s="19"/>
      <c r="D81" s="19"/>
      <c r="E81" s="20"/>
      <c r="F81" s="21"/>
      <c r="G81" s="21"/>
      <c r="H81" s="22"/>
      <c r="I81" s="23" t="str">
        <f aca="false">IF(AND(G81="",H81=""),"",IF(G81&lt;&gt;"",G81,H81/Listes!$D$5))</f>
        <v/>
      </c>
      <c r="J81" s="24" t="str">
        <f aca="false">IF(AND(F81="",G81="",H81=""),"",SUM(F$7:F81)-SUM(I$7:I81))</f>
        <v/>
      </c>
    </row>
    <row r="82" customFormat="false" ht="15" hidden="false" customHeight="false" outlineLevel="0" collapsed="false">
      <c r="A82" s="18"/>
      <c r="B82" s="19"/>
      <c r="C82" s="19"/>
      <c r="D82" s="19"/>
      <c r="E82" s="20"/>
      <c r="F82" s="21"/>
      <c r="G82" s="21"/>
      <c r="H82" s="22"/>
      <c r="I82" s="23" t="str">
        <f aca="false">IF(AND(G82="",H82=""),"",IF(G82&lt;&gt;"",G82,H82/Listes!$D$5))</f>
        <v/>
      </c>
      <c r="J82" s="24" t="str">
        <f aca="false">IF(AND(F82="",G82="",H82=""),"",SUM(F$7:F82)-SUM(I$7:I82))</f>
        <v/>
      </c>
    </row>
    <row r="83" customFormat="false" ht="15" hidden="false" customHeight="false" outlineLevel="0" collapsed="false">
      <c r="A83" s="18"/>
      <c r="B83" s="19"/>
      <c r="C83" s="19"/>
      <c r="D83" s="19"/>
      <c r="E83" s="20"/>
      <c r="F83" s="21"/>
      <c r="G83" s="21"/>
      <c r="H83" s="22"/>
      <c r="I83" s="23" t="str">
        <f aca="false">IF(AND(G83="",H83=""),"",IF(G83&lt;&gt;"",G83,H83/Listes!$D$5))</f>
        <v/>
      </c>
      <c r="J83" s="24" t="str">
        <f aca="false">IF(AND(F83="",G83="",H83=""),"",SUM(F$7:F83)-SUM(I$7:I83))</f>
        <v/>
      </c>
    </row>
    <row r="84" customFormat="false" ht="15" hidden="false" customHeight="false" outlineLevel="0" collapsed="false">
      <c r="A84" s="18"/>
      <c r="B84" s="19"/>
      <c r="C84" s="19"/>
      <c r="D84" s="19"/>
      <c r="E84" s="20"/>
      <c r="F84" s="21"/>
      <c r="G84" s="21"/>
      <c r="H84" s="22"/>
      <c r="I84" s="23" t="str">
        <f aca="false">IF(AND(G84="",H84=""),"",IF(G84&lt;&gt;"",G84,H84/Listes!$D$5))</f>
        <v/>
      </c>
      <c r="J84" s="24" t="str">
        <f aca="false">IF(AND(F84="",G84="",H84=""),"",SUM(F$7:F84)-SUM(I$7:I84))</f>
        <v/>
      </c>
    </row>
    <row r="85" customFormat="false" ht="15" hidden="false" customHeight="false" outlineLevel="0" collapsed="false">
      <c r="A85" s="18"/>
      <c r="B85" s="19"/>
      <c r="C85" s="19"/>
      <c r="D85" s="19"/>
      <c r="E85" s="20"/>
      <c r="F85" s="21"/>
      <c r="G85" s="21"/>
      <c r="H85" s="22"/>
      <c r="I85" s="23" t="str">
        <f aca="false">IF(AND(G85="",H85=""),"",IF(G85&lt;&gt;"",G85,H85/Listes!$D$5))</f>
        <v/>
      </c>
      <c r="J85" s="24" t="str">
        <f aca="false">IF(AND(F85="",G85="",H85=""),"",SUM(F$7:F85)-SUM(I$7:I85))</f>
        <v/>
      </c>
    </row>
    <row r="86" customFormat="false" ht="15" hidden="false" customHeight="false" outlineLevel="0" collapsed="false">
      <c r="A86" s="18"/>
      <c r="B86" s="19"/>
      <c r="C86" s="19"/>
      <c r="D86" s="19"/>
      <c r="E86" s="20"/>
      <c r="F86" s="21"/>
      <c r="G86" s="21"/>
      <c r="H86" s="22"/>
      <c r="I86" s="23" t="str">
        <f aca="false">IF(AND(G86="",H86=""),"",IF(G86&lt;&gt;"",G86,H86/Listes!$D$5))</f>
        <v/>
      </c>
      <c r="J86" s="24" t="str">
        <f aca="false">IF(AND(F86="",G86="",H86=""),"",SUM(F$7:F86)-SUM(I$7:I86))</f>
        <v/>
      </c>
    </row>
    <row r="87" customFormat="false" ht="15" hidden="false" customHeight="false" outlineLevel="0" collapsed="false">
      <c r="A87" s="18"/>
      <c r="B87" s="19"/>
      <c r="C87" s="19"/>
      <c r="D87" s="19"/>
      <c r="E87" s="20"/>
      <c r="F87" s="21"/>
      <c r="G87" s="21"/>
      <c r="H87" s="22"/>
      <c r="I87" s="23" t="str">
        <f aca="false">IF(AND(G87="",H87=""),"",IF(G87&lt;&gt;"",G87,H87/Listes!$D$5))</f>
        <v/>
      </c>
      <c r="J87" s="24" t="str">
        <f aca="false">IF(AND(F87="",G87="",H87=""),"",SUM(F$7:F87)-SUM(I$7:I87))</f>
        <v/>
      </c>
    </row>
    <row r="88" customFormat="false" ht="15" hidden="false" customHeight="false" outlineLevel="0" collapsed="false">
      <c r="A88" s="18"/>
      <c r="B88" s="19"/>
      <c r="C88" s="19"/>
      <c r="D88" s="19"/>
      <c r="E88" s="20"/>
      <c r="F88" s="21"/>
      <c r="G88" s="21"/>
      <c r="H88" s="22"/>
      <c r="I88" s="23" t="str">
        <f aca="false">IF(AND(G88="",H88=""),"",IF(G88&lt;&gt;"",G88,H88/Listes!$D$5))</f>
        <v/>
      </c>
      <c r="J88" s="24" t="str">
        <f aca="false">IF(AND(F88="",G88="",H88=""),"",SUM(F$7:F88)-SUM(I$7:I88))</f>
        <v/>
      </c>
    </row>
    <row r="89" customFormat="false" ht="15" hidden="false" customHeight="false" outlineLevel="0" collapsed="false">
      <c r="A89" s="18"/>
      <c r="B89" s="19"/>
      <c r="C89" s="19"/>
      <c r="D89" s="19"/>
      <c r="E89" s="20"/>
      <c r="F89" s="21"/>
      <c r="G89" s="21"/>
      <c r="H89" s="22"/>
      <c r="I89" s="23" t="str">
        <f aca="false">IF(AND(G89="",H89=""),"",IF(G89&lt;&gt;"",G89,H89/Listes!$D$5))</f>
        <v/>
      </c>
      <c r="J89" s="24" t="str">
        <f aca="false">IF(AND(F89="",G89="",H89=""),"",SUM(F$7:F89)-SUM(I$7:I89))</f>
        <v/>
      </c>
    </row>
    <row r="90" customFormat="false" ht="15" hidden="false" customHeight="false" outlineLevel="0" collapsed="false">
      <c r="A90" s="18"/>
      <c r="B90" s="19"/>
      <c r="C90" s="19"/>
      <c r="D90" s="19"/>
      <c r="E90" s="20"/>
      <c r="F90" s="21"/>
      <c r="G90" s="21"/>
      <c r="H90" s="22"/>
      <c r="I90" s="23" t="str">
        <f aca="false">IF(AND(G90="",H90=""),"",IF(G90&lt;&gt;"",G90,H90/Listes!$D$5))</f>
        <v/>
      </c>
      <c r="J90" s="24" t="str">
        <f aca="false">IF(AND(F90="",G90="",H90=""),"",SUM(F$7:F90)-SUM(I$7:I90))</f>
        <v/>
      </c>
    </row>
    <row r="91" customFormat="false" ht="15" hidden="false" customHeight="false" outlineLevel="0" collapsed="false">
      <c r="A91" s="18"/>
      <c r="B91" s="19"/>
      <c r="C91" s="19"/>
      <c r="D91" s="19"/>
      <c r="E91" s="20"/>
      <c r="F91" s="21"/>
      <c r="G91" s="21"/>
      <c r="H91" s="22"/>
      <c r="I91" s="23" t="str">
        <f aca="false">IF(AND(G91="",H91=""),"",IF(G91&lt;&gt;"",G91,H91/Listes!$D$5))</f>
        <v/>
      </c>
      <c r="J91" s="24" t="str">
        <f aca="false">IF(AND(F91="",G91="",H91=""),"",SUM(F$7:F91)-SUM(I$7:I91))</f>
        <v/>
      </c>
    </row>
    <row r="92" customFormat="false" ht="15" hidden="false" customHeight="false" outlineLevel="0" collapsed="false">
      <c r="A92" s="18"/>
      <c r="B92" s="19"/>
      <c r="C92" s="19"/>
      <c r="D92" s="19"/>
      <c r="E92" s="20"/>
      <c r="F92" s="21"/>
      <c r="G92" s="21"/>
      <c r="H92" s="22"/>
      <c r="I92" s="23" t="str">
        <f aca="false">IF(AND(G92="",H92=""),"",IF(G92&lt;&gt;"",G92,H92/Listes!$D$5))</f>
        <v/>
      </c>
      <c r="J92" s="24" t="str">
        <f aca="false">IF(AND(F92="",G92="",H92=""),"",SUM(F$7:F92)-SUM(I$7:I92))</f>
        <v/>
      </c>
    </row>
    <row r="93" customFormat="false" ht="15" hidden="false" customHeight="false" outlineLevel="0" collapsed="false">
      <c r="A93" s="18"/>
      <c r="B93" s="19"/>
      <c r="C93" s="19"/>
      <c r="D93" s="19"/>
      <c r="E93" s="20"/>
      <c r="F93" s="21"/>
      <c r="G93" s="21"/>
      <c r="H93" s="22"/>
      <c r="I93" s="23" t="str">
        <f aca="false">IF(AND(G93="",H93=""),"",IF(G93&lt;&gt;"",G93,H93/Listes!$D$5))</f>
        <v/>
      </c>
      <c r="J93" s="24" t="str">
        <f aca="false">IF(AND(F93="",G93="",H93=""),"",SUM(F$7:F93)-SUM(I$7:I93))</f>
        <v/>
      </c>
    </row>
    <row r="94" customFormat="false" ht="15" hidden="false" customHeight="false" outlineLevel="0" collapsed="false">
      <c r="A94" s="18"/>
      <c r="B94" s="19"/>
      <c r="C94" s="19"/>
      <c r="D94" s="19"/>
      <c r="E94" s="20"/>
      <c r="F94" s="21"/>
      <c r="G94" s="21"/>
      <c r="H94" s="22"/>
      <c r="I94" s="23" t="str">
        <f aca="false">IF(AND(G94="",H94=""),"",IF(G94&lt;&gt;"",G94,H94/Listes!$D$5))</f>
        <v/>
      </c>
      <c r="J94" s="24" t="str">
        <f aca="false">IF(AND(F94="",G94="",H94=""),"",SUM(F$7:F94)-SUM(I$7:I94))</f>
        <v/>
      </c>
    </row>
    <row r="95" customFormat="false" ht="15" hidden="false" customHeight="false" outlineLevel="0" collapsed="false">
      <c r="A95" s="18"/>
      <c r="B95" s="19"/>
      <c r="C95" s="19"/>
      <c r="D95" s="19"/>
      <c r="E95" s="20"/>
      <c r="F95" s="21"/>
      <c r="G95" s="21"/>
      <c r="H95" s="22"/>
      <c r="I95" s="23" t="str">
        <f aca="false">IF(AND(G95="",H95=""),"",IF(G95&lt;&gt;"",G95,H95/Listes!$D$5))</f>
        <v/>
      </c>
      <c r="J95" s="24" t="str">
        <f aca="false">IF(AND(F95="",G95="",H95=""),"",SUM(F$7:F95)-SUM(I$7:I95))</f>
        <v/>
      </c>
    </row>
    <row r="96" customFormat="false" ht="15" hidden="false" customHeight="false" outlineLevel="0" collapsed="false">
      <c r="A96" s="18"/>
      <c r="B96" s="19"/>
      <c r="C96" s="19"/>
      <c r="D96" s="19"/>
      <c r="E96" s="20"/>
      <c r="F96" s="21"/>
      <c r="G96" s="21"/>
      <c r="H96" s="22"/>
      <c r="I96" s="23" t="str">
        <f aca="false">IF(AND(G96="",H96=""),"",IF(G96&lt;&gt;"",G96,H96/Listes!$D$5))</f>
        <v/>
      </c>
      <c r="J96" s="24" t="str">
        <f aca="false">IF(AND(F96="",G96="",H96=""),"",SUM(F$7:F96)-SUM(I$7:I96))</f>
        <v/>
      </c>
    </row>
    <row r="97" customFormat="false" ht="15" hidden="false" customHeight="false" outlineLevel="0" collapsed="false">
      <c r="A97" s="18"/>
      <c r="B97" s="19"/>
      <c r="C97" s="19"/>
      <c r="D97" s="19"/>
      <c r="E97" s="20"/>
      <c r="F97" s="21"/>
      <c r="G97" s="21"/>
      <c r="H97" s="22"/>
      <c r="I97" s="23" t="str">
        <f aca="false">IF(AND(G97="",H97=""),"",IF(G97&lt;&gt;"",G97,H97/Listes!$D$5))</f>
        <v/>
      </c>
      <c r="J97" s="24" t="str">
        <f aca="false">IF(AND(F97="",G97="",H97=""),"",SUM(F$7:F97)-SUM(I$7:I97))</f>
        <v/>
      </c>
    </row>
    <row r="98" customFormat="false" ht="15" hidden="false" customHeight="false" outlineLevel="0" collapsed="false">
      <c r="A98" s="18"/>
      <c r="B98" s="19"/>
      <c r="C98" s="19"/>
      <c r="D98" s="19"/>
      <c r="E98" s="20"/>
      <c r="F98" s="21"/>
      <c r="G98" s="21"/>
      <c r="H98" s="22"/>
      <c r="I98" s="23" t="str">
        <f aca="false">IF(AND(G98="",H98=""),"",IF(G98&lt;&gt;"",G98,H98/Listes!$D$5))</f>
        <v/>
      </c>
      <c r="J98" s="24" t="str">
        <f aca="false">IF(AND(F98="",G98="",H98=""),"",SUM(F$7:F98)-SUM(I$7:I98))</f>
        <v/>
      </c>
    </row>
    <row r="99" customFormat="false" ht="15" hidden="false" customHeight="false" outlineLevel="0" collapsed="false">
      <c r="A99" s="18"/>
      <c r="B99" s="19"/>
      <c r="C99" s="19"/>
      <c r="D99" s="19"/>
      <c r="E99" s="20"/>
      <c r="F99" s="21"/>
      <c r="G99" s="21"/>
      <c r="H99" s="22"/>
      <c r="I99" s="23" t="str">
        <f aca="false">IF(AND(G99="",H99=""),"",IF(G99&lt;&gt;"",G99,H99/Listes!$D$5))</f>
        <v/>
      </c>
      <c r="J99" s="24" t="str">
        <f aca="false">IF(AND(F99="",G99="",H99=""),"",SUM(F$7:F99)-SUM(I$7:I99))</f>
        <v/>
      </c>
    </row>
    <row r="100" customFormat="false" ht="15" hidden="false" customHeight="false" outlineLevel="0" collapsed="false">
      <c r="A100" s="18"/>
      <c r="B100" s="19"/>
      <c r="C100" s="19"/>
      <c r="D100" s="19"/>
      <c r="E100" s="20"/>
      <c r="F100" s="21"/>
      <c r="G100" s="21"/>
      <c r="H100" s="22"/>
      <c r="I100" s="23" t="str">
        <f aca="false">IF(AND(G100="",H100=""),"",IF(G100&lt;&gt;"",G100,H100/Listes!$D$5))</f>
        <v/>
      </c>
      <c r="J100" s="24" t="str">
        <f aca="false">IF(AND(F100="",G100="",H100=""),"",SUM(F$7:F100)-SUM(I$7:I100))</f>
        <v/>
      </c>
    </row>
    <row r="101" customFormat="false" ht="15" hidden="false" customHeight="false" outlineLevel="0" collapsed="false">
      <c r="A101" s="18"/>
      <c r="B101" s="19"/>
      <c r="C101" s="19"/>
      <c r="D101" s="19"/>
      <c r="E101" s="20"/>
      <c r="F101" s="21"/>
      <c r="G101" s="21"/>
      <c r="H101" s="22"/>
      <c r="I101" s="23" t="str">
        <f aca="false">IF(AND(G101="",H101=""),"",IF(G101&lt;&gt;"",G101,H101/Listes!$D$5))</f>
        <v/>
      </c>
      <c r="J101" s="24" t="str">
        <f aca="false">IF(AND(F101="",G101="",H101=""),"",SUM(F$7:F101)-SUM(I$7:I101))</f>
        <v/>
      </c>
    </row>
    <row r="102" customFormat="false" ht="15" hidden="false" customHeight="false" outlineLevel="0" collapsed="false">
      <c r="A102" s="18"/>
      <c r="B102" s="19"/>
      <c r="C102" s="19"/>
      <c r="D102" s="19"/>
      <c r="E102" s="20"/>
      <c r="F102" s="21"/>
      <c r="G102" s="21"/>
      <c r="H102" s="22"/>
      <c r="I102" s="23" t="str">
        <f aca="false">IF(AND(G102="",H102=""),"",IF(G102&lt;&gt;"",G102,H102/Listes!$D$5))</f>
        <v/>
      </c>
      <c r="J102" s="24" t="str">
        <f aca="false">IF(AND(F102="",G102="",H102=""),"",SUM(F$7:F102)-SUM(I$7:I102))</f>
        <v/>
      </c>
    </row>
    <row r="103" customFormat="false" ht="15" hidden="false" customHeight="false" outlineLevel="0" collapsed="false">
      <c r="A103" s="18"/>
      <c r="B103" s="19"/>
      <c r="C103" s="19"/>
      <c r="D103" s="19"/>
      <c r="E103" s="20"/>
      <c r="F103" s="21"/>
      <c r="G103" s="21"/>
      <c r="H103" s="22"/>
      <c r="I103" s="23" t="str">
        <f aca="false">IF(AND(G103="",H103=""),"",IF(G103&lt;&gt;"",G103,H103/Listes!$D$5))</f>
        <v/>
      </c>
      <c r="J103" s="24" t="str">
        <f aca="false">IF(AND(F103="",G103="",H103=""),"",SUM(F$7:F103)-SUM(I$7:I103))</f>
        <v/>
      </c>
    </row>
    <row r="104" customFormat="false" ht="15" hidden="false" customHeight="false" outlineLevel="0" collapsed="false">
      <c r="A104" s="18"/>
      <c r="B104" s="19"/>
      <c r="C104" s="19"/>
      <c r="D104" s="19"/>
      <c r="E104" s="20"/>
      <c r="F104" s="21"/>
      <c r="G104" s="21"/>
      <c r="H104" s="22"/>
      <c r="I104" s="23" t="str">
        <f aca="false">IF(AND(G104="",H104=""),"",IF(G104&lt;&gt;"",G104,H104/Listes!$D$5))</f>
        <v/>
      </c>
      <c r="J104" s="24" t="str">
        <f aca="false">IF(AND(F104="",G104="",H104=""),"",SUM(F$7:F104)-SUM(I$7:I104))</f>
        <v/>
      </c>
    </row>
    <row r="105" customFormat="false" ht="15" hidden="false" customHeight="false" outlineLevel="0" collapsed="false">
      <c r="A105" s="18"/>
      <c r="B105" s="19"/>
      <c r="C105" s="19"/>
      <c r="D105" s="19"/>
      <c r="E105" s="20"/>
      <c r="F105" s="21"/>
      <c r="G105" s="21"/>
      <c r="H105" s="22"/>
      <c r="I105" s="23" t="str">
        <f aca="false">IF(AND(G105="",H105=""),"",IF(G105&lt;&gt;"",G105,H105/Listes!$D$5))</f>
        <v/>
      </c>
      <c r="J105" s="24" t="str">
        <f aca="false">IF(AND(F105="",G105="",H105=""),"",SUM(F$7:F105)-SUM(I$7:I105))</f>
        <v/>
      </c>
    </row>
    <row r="106" customFormat="false" ht="15" hidden="false" customHeight="false" outlineLevel="0" collapsed="false">
      <c r="A106" s="18"/>
      <c r="B106" s="19"/>
      <c r="C106" s="19"/>
      <c r="D106" s="19"/>
      <c r="E106" s="20"/>
      <c r="F106" s="21"/>
      <c r="G106" s="21"/>
      <c r="H106" s="22"/>
      <c r="I106" s="23" t="str">
        <f aca="false">IF(AND(G106="",H106=""),"",IF(G106&lt;&gt;"",G106,H106/Listes!$D$5))</f>
        <v/>
      </c>
      <c r="J106" s="24" t="str">
        <f aca="false">IF(AND(F106="",G106="",H106=""),"",SUM(F$7:F106)-SUM(I$7:I106))</f>
        <v/>
      </c>
    </row>
    <row r="107" customFormat="false" ht="15" hidden="false" customHeight="false" outlineLevel="0" collapsed="false">
      <c r="A107" s="18"/>
      <c r="B107" s="19"/>
      <c r="C107" s="19"/>
      <c r="D107" s="19"/>
      <c r="E107" s="20"/>
      <c r="F107" s="21"/>
      <c r="G107" s="21"/>
      <c r="H107" s="22"/>
      <c r="I107" s="23" t="str">
        <f aca="false">IF(AND(G107="",H107=""),"",IF(G107&lt;&gt;"",G107,H107/Listes!$D$5))</f>
        <v/>
      </c>
      <c r="J107" s="24" t="str">
        <f aca="false">IF(AND(F107="",G107="",H107=""),"",SUM(F$7:F107)-SUM(I$7:I107))</f>
        <v/>
      </c>
    </row>
    <row r="108" customFormat="false" ht="15" hidden="false" customHeight="false" outlineLevel="0" collapsed="false">
      <c r="A108" s="18"/>
      <c r="B108" s="19"/>
      <c r="C108" s="19"/>
      <c r="D108" s="19"/>
      <c r="E108" s="20"/>
      <c r="F108" s="21"/>
      <c r="G108" s="21"/>
      <c r="H108" s="22"/>
      <c r="I108" s="23" t="str">
        <f aca="false">IF(AND(G108="",H108=""),"",IF(G108&lt;&gt;"",G108,H108/Listes!$D$5))</f>
        <v/>
      </c>
      <c r="J108" s="24" t="str">
        <f aca="false">IF(AND(F108="",G108="",H108=""),"",SUM(F$7:F108)-SUM(I$7:I108))</f>
        <v/>
      </c>
    </row>
    <row r="109" customFormat="false" ht="15" hidden="false" customHeight="false" outlineLevel="0" collapsed="false">
      <c r="A109" s="18"/>
      <c r="B109" s="19"/>
      <c r="C109" s="19"/>
      <c r="D109" s="19"/>
      <c r="E109" s="20"/>
      <c r="F109" s="21"/>
      <c r="G109" s="21"/>
      <c r="H109" s="22"/>
      <c r="I109" s="23" t="str">
        <f aca="false">IF(AND(G109="",H109=""),"",IF(G109&lt;&gt;"",G109,H109/Listes!$D$5))</f>
        <v/>
      </c>
      <c r="J109" s="24" t="str">
        <f aca="false">IF(AND(F109="",G109="",H109=""),"",SUM(F$7:F109)-SUM(I$7:I109))</f>
        <v/>
      </c>
    </row>
    <row r="110" customFormat="false" ht="15" hidden="false" customHeight="false" outlineLevel="0" collapsed="false">
      <c r="A110" s="18"/>
      <c r="B110" s="19"/>
      <c r="C110" s="19"/>
      <c r="D110" s="19"/>
      <c r="E110" s="20"/>
      <c r="F110" s="21"/>
      <c r="G110" s="21"/>
      <c r="H110" s="22"/>
      <c r="I110" s="23" t="str">
        <f aca="false">IF(AND(G110="",H110=""),"",IF(G110&lt;&gt;"",G110,H110/Listes!$D$5))</f>
        <v/>
      </c>
      <c r="J110" s="24" t="str">
        <f aca="false">IF(AND(F110="",G110="",H110=""),"",SUM(F$7:F110)-SUM(I$7:I110))</f>
        <v/>
      </c>
    </row>
    <row r="111" customFormat="false" ht="15" hidden="false" customHeight="false" outlineLevel="0" collapsed="false">
      <c r="A111" s="18"/>
      <c r="B111" s="19"/>
      <c r="C111" s="19"/>
      <c r="D111" s="19"/>
      <c r="E111" s="20"/>
      <c r="F111" s="21"/>
      <c r="G111" s="21"/>
      <c r="H111" s="22"/>
      <c r="I111" s="23" t="str">
        <f aca="false">IF(AND(G111="",H111=""),"",IF(G111&lt;&gt;"",G111,H111/Listes!$D$5))</f>
        <v/>
      </c>
      <c r="J111" s="24" t="str">
        <f aca="false">IF(AND(F111="",G111="",H111=""),"",SUM(F$7:F111)-SUM(I$7:I111))</f>
        <v/>
      </c>
    </row>
    <row r="112" customFormat="false" ht="15" hidden="false" customHeight="false" outlineLevel="0" collapsed="false">
      <c r="A112" s="18"/>
      <c r="B112" s="19"/>
      <c r="C112" s="19"/>
      <c r="D112" s="19"/>
      <c r="E112" s="20"/>
      <c r="F112" s="21"/>
      <c r="G112" s="21"/>
      <c r="H112" s="22"/>
      <c r="I112" s="23" t="str">
        <f aca="false">IF(AND(G112="",H112=""),"",IF(G112&lt;&gt;"",G112,H112/Listes!$D$5))</f>
        <v/>
      </c>
      <c r="J112" s="24" t="str">
        <f aca="false">IF(AND(F112="",G112="",H112=""),"",SUM(F$7:F112)-SUM(I$7:I112))</f>
        <v/>
      </c>
    </row>
    <row r="113" customFormat="false" ht="15" hidden="false" customHeight="false" outlineLevel="0" collapsed="false">
      <c r="A113" s="18"/>
      <c r="B113" s="19"/>
      <c r="C113" s="19"/>
      <c r="D113" s="19"/>
      <c r="E113" s="20"/>
      <c r="F113" s="21"/>
      <c r="G113" s="21"/>
      <c r="H113" s="22"/>
      <c r="I113" s="23" t="str">
        <f aca="false">IF(AND(G113="",H113=""),"",IF(G113&lt;&gt;"",G113,H113/Listes!$D$5))</f>
        <v/>
      </c>
      <c r="J113" s="24" t="str">
        <f aca="false">IF(AND(F113="",G113="",H113=""),"",SUM(F$7:F113)-SUM(I$7:I113))</f>
        <v/>
      </c>
    </row>
    <row r="114" customFormat="false" ht="15" hidden="false" customHeight="false" outlineLevel="0" collapsed="false">
      <c r="A114" s="18"/>
      <c r="B114" s="19"/>
      <c r="C114" s="19"/>
      <c r="D114" s="19"/>
      <c r="E114" s="20"/>
      <c r="F114" s="21"/>
      <c r="G114" s="21"/>
      <c r="H114" s="22"/>
      <c r="I114" s="23" t="str">
        <f aca="false">IF(AND(G114="",H114=""),"",IF(G114&lt;&gt;"",G114,H114/Listes!$D$5))</f>
        <v/>
      </c>
      <c r="J114" s="24" t="str">
        <f aca="false">IF(AND(F114="",G114="",H114=""),"",SUM(F$7:F114)-SUM(I$7:I114))</f>
        <v/>
      </c>
    </row>
    <row r="115" customFormat="false" ht="15" hidden="false" customHeight="false" outlineLevel="0" collapsed="false">
      <c r="A115" s="18"/>
      <c r="B115" s="19"/>
      <c r="C115" s="19"/>
      <c r="D115" s="19"/>
      <c r="E115" s="20"/>
      <c r="F115" s="21"/>
      <c r="G115" s="21"/>
      <c r="H115" s="22"/>
      <c r="I115" s="23" t="str">
        <f aca="false">IF(AND(G115="",H115=""),"",IF(G115&lt;&gt;"",G115,H115/Listes!$D$5))</f>
        <v/>
      </c>
      <c r="J115" s="24" t="str">
        <f aca="false">IF(AND(F115="",G115="",H115=""),"",SUM(F$7:F115)-SUM(I$7:I115))</f>
        <v/>
      </c>
    </row>
    <row r="116" customFormat="false" ht="15" hidden="false" customHeight="false" outlineLevel="0" collapsed="false">
      <c r="A116" s="18"/>
      <c r="B116" s="19"/>
      <c r="C116" s="19"/>
      <c r="D116" s="19"/>
      <c r="E116" s="20"/>
      <c r="F116" s="21"/>
      <c r="G116" s="21"/>
      <c r="H116" s="22"/>
      <c r="I116" s="23" t="str">
        <f aca="false">IF(AND(G116="",H116=""),"",IF(G116&lt;&gt;"",G116,H116/Listes!$D$5))</f>
        <v/>
      </c>
      <c r="J116" s="24" t="str">
        <f aca="false">IF(AND(F116="",G116="",H116=""),"",SUM(F$7:F116)-SUM(I$7:I116))</f>
        <v/>
      </c>
    </row>
    <row r="117" customFormat="false" ht="15" hidden="false" customHeight="false" outlineLevel="0" collapsed="false">
      <c r="A117" s="18"/>
      <c r="B117" s="19"/>
      <c r="C117" s="19"/>
      <c r="D117" s="19"/>
      <c r="E117" s="20"/>
      <c r="F117" s="21"/>
      <c r="G117" s="21"/>
      <c r="H117" s="22"/>
      <c r="I117" s="23" t="str">
        <f aca="false">IF(AND(G117="",H117=""),"",IF(G117&lt;&gt;"",G117,H117/Listes!$D$5))</f>
        <v/>
      </c>
      <c r="J117" s="24" t="str">
        <f aca="false">IF(AND(F117="",G117="",H117=""),"",SUM(F$7:F117)-SUM(I$7:I117))</f>
        <v/>
      </c>
    </row>
    <row r="118" customFormat="false" ht="15" hidden="false" customHeight="false" outlineLevel="0" collapsed="false">
      <c r="A118" s="18"/>
      <c r="B118" s="19"/>
      <c r="C118" s="19"/>
      <c r="D118" s="19"/>
      <c r="E118" s="20"/>
      <c r="F118" s="21"/>
      <c r="G118" s="21"/>
      <c r="H118" s="22"/>
      <c r="I118" s="23" t="str">
        <f aca="false">IF(AND(G118="",H118=""),"",IF(G118&lt;&gt;"",G118,H118/Listes!$D$5))</f>
        <v/>
      </c>
      <c r="J118" s="24" t="str">
        <f aca="false">IF(AND(F118="",G118="",H118=""),"",SUM(F$7:F118)-SUM(I$7:I118))</f>
        <v/>
      </c>
    </row>
    <row r="119" customFormat="false" ht="15" hidden="false" customHeight="false" outlineLevel="0" collapsed="false">
      <c r="A119" s="18"/>
      <c r="B119" s="19"/>
      <c r="C119" s="19"/>
      <c r="D119" s="19"/>
      <c r="E119" s="20"/>
      <c r="F119" s="21"/>
      <c r="G119" s="21"/>
      <c r="H119" s="22"/>
      <c r="I119" s="23" t="str">
        <f aca="false">IF(AND(G119="",H119=""),"",IF(G119&lt;&gt;"",G119,H119/Listes!$D$5))</f>
        <v/>
      </c>
      <c r="J119" s="24" t="str">
        <f aca="false">IF(AND(F119="",G119="",H119=""),"",SUM(F$7:F119)-SUM(I$7:I119))</f>
        <v/>
      </c>
    </row>
    <row r="120" customFormat="false" ht="15" hidden="false" customHeight="false" outlineLevel="0" collapsed="false">
      <c r="A120" s="18"/>
      <c r="B120" s="19"/>
      <c r="C120" s="19"/>
      <c r="D120" s="19"/>
      <c r="E120" s="20"/>
      <c r="F120" s="21"/>
      <c r="G120" s="21"/>
      <c r="H120" s="22"/>
      <c r="I120" s="23" t="str">
        <f aca="false">IF(AND(G120="",H120=""),"",IF(G120&lt;&gt;"",G120,H120/Listes!$D$5))</f>
        <v/>
      </c>
      <c r="J120" s="24" t="str">
        <f aca="false">IF(AND(F120="",G120="",H120=""),"",SUM(F$7:F120)-SUM(I$7:I120))</f>
        <v/>
      </c>
    </row>
    <row r="121" customFormat="false" ht="15" hidden="false" customHeight="false" outlineLevel="0" collapsed="false">
      <c r="A121" s="18"/>
      <c r="B121" s="19"/>
      <c r="C121" s="19"/>
      <c r="D121" s="19"/>
      <c r="E121" s="20"/>
      <c r="F121" s="21"/>
      <c r="G121" s="21"/>
      <c r="H121" s="22"/>
      <c r="I121" s="23" t="str">
        <f aca="false">IF(AND(G121="",H121=""),"",IF(G121&lt;&gt;"",G121,H121/Listes!$D$5))</f>
        <v/>
      </c>
      <c r="J121" s="24" t="str">
        <f aca="false">IF(AND(F121="",G121="",H121=""),"",SUM(F$7:F121)-SUM(I$7:I121))</f>
        <v/>
      </c>
    </row>
    <row r="122" customFormat="false" ht="15" hidden="false" customHeight="false" outlineLevel="0" collapsed="false">
      <c r="A122" s="18"/>
      <c r="B122" s="19"/>
      <c r="C122" s="19"/>
      <c r="D122" s="19"/>
      <c r="E122" s="20"/>
      <c r="F122" s="21"/>
      <c r="G122" s="21"/>
      <c r="H122" s="22"/>
      <c r="I122" s="23" t="str">
        <f aca="false">IF(AND(G122="",H122=""),"",IF(G122&lt;&gt;"",G122,H122/Listes!$D$5))</f>
        <v/>
      </c>
      <c r="J122" s="24" t="str">
        <f aca="false">IF(AND(F122="",G122="",H122=""),"",SUM(F$7:F122)-SUM(I$7:I122))</f>
        <v/>
      </c>
    </row>
    <row r="123" customFormat="false" ht="15" hidden="false" customHeight="false" outlineLevel="0" collapsed="false">
      <c r="A123" s="18"/>
      <c r="B123" s="19"/>
      <c r="C123" s="19"/>
      <c r="D123" s="19"/>
      <c r="E123" s="20"/>
      <c r="F123" s="21"/>
      <c r="G123" s="21"/>
      <c r="H123" s="22"/>
      <c r="I123" s="23" t="str">
        <f aca="false">IF(AND(G123="",H123=""),"",IF(G123&lt;&gt;"",G123,H123/Listes!$D$5))</f>
        <v/>
      </c>
      <c r="J123" s="24" t="str">
        <f aca="false">IF(AND(F123="",G123="",H123=""),"",SUM(F$7:F123)-SUM(I$7:I123))</f>
        <v/>
      </c>
    </row>
    <row r="124" customFormat="false" ht="15" hidden="false" customHeight="false" outlineLevel="0" collapsed="false">
      <c r="A124" s="18"/>
      <c r="B124" s="19"/>
      <c r="C124" s="19"/>
      <c r="D124" s="19"/>
      <c r="E124" s="20"/>
      <c r="F124" s="21"/>
      <c r="G124" s="21"/>
      <c r="H124" s="22"/>
      <c r="I124" s="23" t="str">
        <f aca="false">IF(AND(G124="",H124=""),"",IF(G124&lt;&gt;"",G124,H124/Listes!$D$5))</f>
        <v/>
      </c>
      <c r="J124" s="24" t="str">
        <f aca="false">IF(AND(F124="",G124="",H124=""),"",SUM(F$7:F124)-SUM(I$7:I124))</f>
        <v/>
      </c>
    </row>
    <row r="125" customFormat="false" ht="15" hidden="false" customHeight="false" outlineLevel="0" collapsed="false">
      <c r="A125" s="18"/>
      <c r="B125" s="19"/>
      <c r="C125" s="19"/>
      <c r="D125" s="19"/>
      <c r="E125" s="20"/>
      <c r="F125" s="21"/>
      <c r="G125" s="21"/>
      <c r="H125" s="22"/>
      <c r="I125" s="23" t="str">
        <f aca="false">IF(AND(G125="",H125=""),"",IF(G125&lt;&gt;"",G125,H125/Listes!$D$5))</f>
        <v/>
      </c>
      <c r="J125" s="24" t="str">
        <f aca="false">IF(AND(F125="",G125="",H125=""),"",SUM(F$7:F125)-SUM(I$7:I125))</f>
        <v/>
      </c>
    </row>
    <row r="126" customFormat="false" ht="15" hidden="false" customHeight="false" outlineLevel="0" collapsed="false">
      <c r="A126" s="18"/>
      <c r="B126" s="19"/>
      <c r="C126" s="19"/>
      <c r="D126" s="19"/>
      <c r="E126" s="20"/>
      <c r="F126" s="21"/>
      <c r="G126" s="21"/>
      <c r="H126" s="22"/>
      <c r="I126" s="23" t="str">
        <f aca="false">IF(AND(G126="",H126=""),"",IF(G126&lt;&gt;"",G126,H126/Listes!$D$5))</f>
        <v/>
      </c>
      <c r="J126" s="24" t="str">
        <f aca="false">IF(AND(F126="",G126="",H126=""),"",SUM(F$7:F126)-SUM(I$7:I126))</f>
        <v/>
      </c>
    </row>
    <row r="127" customFormat="false" ht="15" hidden="false" customHeight="false" outlineLevel="0" collapsed="false">
      <c r="A127" s="18"/>
      <c r="B127" s="19"/>
      <c r="C127" s="19"/>
      <c r="D127" s="19"/>
      <c r="E127" s="20"/>
      <c r="F127" s="21"/>
      <c r="G127" s="21"/>
      <c r="H127" s="22"/>
      <c r="I127" s="23" t="str">
        <f aca="false">IF(AND(G127="",H127=""),"",IF(G127&lt;&gt;"",G127,H127/Listes!$D$5))</f>
        <v/>
      </c>
      <c r="J127" s="24" t="str">
        <f aca="false">IF(AND(F127="",G127="",H127=""),"",SUM(F$7:F127)-SUM(I$7:I127))</f>
        <v/>
      </c>
    </row>
    <row r="128" customFormat="false" ht="15" hidden="false" customHeight="false" outlineLevel="0" collapsed="false">
      <c r="A128" s="18"/>
      <c r="B128" s="19"/>
      <c r="C128" s="19"/>
      <c r="D128" s="19"/>
      <c r="E128" s="20"/>
      <c r="F128" s="21"/>
      <c r="G128" s="21"/>
      <c r="H128" s="22"/>
      <c r="I128" s="23" t="str">
        <f aca="false">IF(AND(G128="",H128=""),"",IF(G128&lt;&gt;"",G128,H128/Listes!$D$5))</f>
        <v/>
      </c>
      <c r="J128" s="24" t="str">
        <f aca="false">IF(AND(F128="",G128="",H128=""),"",SUM(F$7:F128)-SUM(I$7:I128))</f>
        <v/>
      </c>
    </row>
    <row r="129" customFormat="false" ht="15" hidden="false" customHeight="false" outlineLevel="0" collapsed="false">
      <c r="A129" s="18"/>
      <c r="B129" s="19"/>
      <c r="C129" s="19"/>
      <c r="D129" s="19"/>
      <c r="E129" s="20"/>
      <c r="F129" s="21"/>
      <c r="G129" s="21"/>
      <c r="H129" s="22"/>
      <c r="I129" s="23" t="str">
        <f aca="false">IF(AND(G129="",H129=""),"",IF(G129&lt;&gt;"",G129,H129/Listes!$D$5))</f>
        <v/>
      </c>
      <c r="J129" s="24" t="str">
        <f aca="false">IF(AND(F129="",G129="",H129=""),"",SUM(F$7:F129)-SUM(I$7:I129))</f>
        <v/>
      </c>
    </row>
    <row r="130" customFormat="false" ht="15" hidden="false" customHeight="false" outlineLevel="0" collapsed="false">
      <c r="A130" s="18"/>
      <c r="B130" s="19"/>
      <c r="C130" s="19"/>
      <c r="D130" s="19"/>
      <c r="E130" s="20"/>
      <c r="F130" s="21"/>
      <c r="G130" s="21"/>
      <c r="H130" s="22"/>
      <c r="I130" s="23" t="str">
        <f aca="false">IF(AND(G130="",H130=""),"",IF(G130&lt;&gt;"",G130,H130/Listes!$D$5))</f>
        <v/>
      </c>
      <c r="J130" s="24" t="str">
        <f aca="false">IF(AND(F130="",G130="",H130=""),"",SUM(F$7:F130)-SUM(I$7:I130))</f>
        <v/>
      </c>
    </row>
    <row r="131" customFormat="false" ht="15" hidden="false" customHeight="false" outlineLevel="0" collapsed="false">
      <c r="A131" s="18"/>
      <c r="B131" s="19"/>
      <c r="C131" s="19"/>
      <c r="D131" s="19"/>
      <c r="E131" s="20"/>
      <c r="F131" s="21"/>
      <c r="G131" s="21"/>
      <c r="H131" s="22"/>
      <c r="I131" s="23" t="str">
        <f aca="false">IF(AND(G131="",H131=""),"",IF(G131&lt;&gt;"",G131,H131/Listes!$D$5))</f>
        <v/>
      </c>
      <c r="J131" s="24" t="str">
        <f aca="false">IF(AND(F131="",G131="",H131=""),"",SUM(F$7:F131)-SUM(I$7:I131))</f>
        <v/>
      </c>
    </row>
    <row r="132" customFormat="false" ht="15" hidden="false" customHeight="false" outlineLevel="0" collapsed="false">
      <c r="A132" s="18"/>
      <c r="B132" s="19"/>
      <c r="C132" s="19"/>
      <c r="D132" s="19"/>
      <c r="E132" s="20"/>
      <c r="F132" s="21"/>
      <c r="G132" s="21"/>
      <c r="H132" s="22"/>
      <c r="I132" s="23" t="str">
        <f aca="false">IF(AND(G132="",H132=""),"",IF(G132&lt;&gt;"",G132,H132/Listes!$D$5))</f>
        <v/>
      </c>
      <c r="J132" s="24" t="str">
        <f aca="false">IF(AND(F132="",G132="",H132=""),"",SUM(F$7:F132)-SUM(I$7:I132))</f>
        <v/>
      </c>
    </row>
    <row r="133" customFormat="false" ht="15" hidden="false" customHeight="false" outlineLevel="0" collapsed="false">
      <c r="A133" s="18"/>
      <c r="B133" s="19"/>
      <c r="C133" s="19"/>
      <c r="D133" s="19"/>
      <c r="E133" s="20"/>
      <c r="F133" s="21"/>
      <c r="G133" s="21"/>
      <c r="H133" s="22"/>
      <c r="I133" s="23" t="str">
        <f aca="false">IF(AND(G133="",H133=""),"",IF(G133&lt;&gt;"",G133,H133/Listes!$D$5))</f>
        <v/>
      </c>
      <c r="J133" s="24" t="str">
        <f aca="false">IF(AND(F133="",G133="",H133=""),"",SUM(F$7:F133)-SUM(I$7:I133))</f>
        <v/>
      </c>
    </row>
    <row r="134" customFormat="false" ht="15" hidden="false" customHeight="false" outlineLevel="0" collapsed="false">
      <c r="A134" s="18"/>
      <c r="B134" s="19"/>
      <c r="C134" s="19"/>
      <c r="D134" s="19"/>
      <c r="E134" s="20"/>
      <c r="F134" s="21"/>
      <c r="G134" s="21"/>
      <c r="H134" s="22"/>
      <c r="I134" s="23" t="str">
        <f aca="false">IF(AND(G134="",H134=""),"",IF(G134&lt;&gt;"",G134,H134/Listes!$D$5))</f>
        <v/>
      </c>
      <c r="J134" s="24" t="str">
        <f aca="false">IF(AND(F134="",G134="",H134=""),"",SUM(F$7:F134)-SUM(I$7:I134))</f>
        <v/>
      </c>
    </row>
    <row r="135" customFormat="false" ht="15" hidden="false" customHeight="false" outlineLevel="0" collapsed="false">
      <c r="A135" s="18"/>
      <c r="B135" s="19"/>
      <c r="C135" s="19"/>
      <c r="D135" s="19"/>
      <c r="E135" s="20"/>
      <c r="F135" s="21"/>
      <c r="G135" s="21"/>
      <c r="H135" s="22"/>
      <c r="I135" s="23" t="str">
        <f aca="false">IF(AND(G135="",H135=""),"",IF(G135&lt;&gt;"",G135,H135/Listes!$D$5))</f>
        <v/>
      </c>
      <c r="J135" s="24" t="str">
        <f aca="false">IF(AND(F135="",G135="",H135=""),"",SUM(F$7:F135)-SUM(I$7:I135))</f>
        <v/>
      </c>
    </row>
    <row r="136" customFormat="false" ht="15" hidden="false" customHeight="false" outlineLevel="0" collapsed="false">
      <c r="A136" s="18"/>
      <c r="B136" s="19"/>
      <c r="C136" s="19"/>
      <c r="D136" s="19"/>
      <c r="E136" s="20"/>
      <c r="F136" s="21"/>
      <c r="G136" s="21"/>
      <c r="H136" s="22"/>
      <c r="I136" s="23" t="str">
        <f aca="false">IF(AND(G136="",H136=""),"",IF(G136&lt;&gt;"",G136,H136/Listes!$D$5))</f>
        <v/>
      </c>
      <c r="J136" s="24" t="str">
        <f aca="false">IF(AND(F136="",G136="",H136=""),"",SUM(F$7:F136)-SUM(I$7:I136))</f>
        <v/>
      </c>
    </row>
    <row r="137" customFormat="false" ht="15" hidden="false" customHeight="false" outlineLevel="0" collapsed="false">
      <c r="A137" s="18"/>
      <c r="B137" s="19"/>
      <c r="C137" s="19"/>
      <c r="D137" s="19"/>
      <c r="E137" s="20"/>
      <c r="F137" s="21"/>
      <c r="G137" s="21"/>
      <c r="H137" s="22"/>
      <c r="I137" s="23" t="str">
        <f aca="false">IF(AND(G137="",H137=""),"",IF(G137&lt;&gt;"",G137,H137/Listes!$D$5))</f>
        <v/>
      </c>
      <c r="J137" s="24" t="str">
        <f aca="false">IF(AND(F137="",G137="",H137=""),"",SUM(F$7:F137)-SUM(I$7:I137))</f>
        <v/>
      </c>
    </row>
    <row r="138" customFormat="false" ht="15" hidden="false" customHeight="false" outlineLevel="0" collapsed="false">
      <c r="A138" s="18"/>
      <c r="B138" s="19"/>
      <c r="C138" s="19"/>
      <c r="D138" s="19"/>
      <c r="E138" s="20"/>
      <c r="F138" s="21"/>
      <c r="G138" s="21"/>
      <c r="H138" s="22"/>
      <c r="I138" s="23" t="str">
        <f aca="false">IF(AND(G138="",H138=""),"",IF(G138&lt;&gt;"",G138,H138/Listes!$D$5))</f>
        <v/>
      </c>
      <c r="J138" s="24" t="str">
        <f aca="false">IF(AND(F138="",G138="",H138=""),"",SUM(F$7:F138)-SUM(I$7:I138))</f>
        <v/>
      </c>
    </row>
    <row r="139" customFormat="false" ht="15" hidden="false" customHeight="false" outlineLevel="0" collapsed="false">
      <c r="A139" s="18"/>
      <c r="B139" s="19"/>
      <c r="C139" s="19"/>
      <c r="D139" s="19"/>
      <c r="E139" s="20"/>
      <c r="F139" s="21"/>
      <c r="G139" s="21"/>
      <c r="H139" s="22"/>
      <c r="I139" s="23" t="str">
        <f aca="false">IF(AND(G139="",H139=""),"",IF(G139&lt;&gt;"",G139,H139/Listes!$D$5))</f>
        <v/>
      </c>
      <c r="J139" s="24" t="str">
        <f aca="false">IF(AND(F139="",G139="",H139=""),"",SUM(F$7:F139)-SUM(I$7:I139))</f>
        <v/>
      </c>
    </row>
    <row r="140" customFormat="false" ht="15" hidden="false" customHeight="false" outlineLevel="0" collapsed="false">
      <c r="A140" s="18"/>
      <c r="B140" s="19"/>
      <c r="C140" s="19"/>
      <c r="D140" s="19"/>
      <c r="E140" s="20"/>
      <c r="F140" s="21"/>
      <c r="G140" s="21"/>
      <c r="H140" s="22"/>
      <c r="I140" s="23" t="str">
        <f aca="false">IF(AND(G140="",H140=""),"",IF(G140&lt;&gt;"",G140,H140/Listes!$D$5))</f>
        <v/>
      </c>
      <c r="J140" s="24" t="str">
        <f aca="false">IF(AND(F140="",G140="",H140=""),"",SUM(F$7:F140)-SUM(I$7:I140))</f>
        <v/>
      </c>
    </row>
    <row r="141" customFormat="false" ht="15" hidden="false" customHeight="false" outlineLevel="0" collapsed="false">
      <c r="A141" s="18"/>
      <c r="B141" s="19"/>
      <c r="C141" s="19"/>
      <c r="D141" s="19"/>
      <c r="E141" s="20"/>
      <c r="F141" s="21"/>
      <c r="G141" s="21"/>
      <c r="H141" s="22"/>
      <c r="I141" s="23" t="str">
        <f aca="false">IF(AND(G141="",H141=""),"",IF(G141&lt;&gt;"",G141,H141/Listes!$D$5))</f>
        <v/>
      </c>
      <c r="J141" s="24" t="str">
        <f aca="false">IF(AND(F141="",G141="",H141=""),"",SUM(F$7:F141)-SUM(I$7:I141))</f>
        <v/>
      </c>
    </row>
    <row r="142" customFormat="false" ht="15" hidden="false" customHeight="false" outlineLevel="0" collapsed="false">
      <c r="A142" s="18"/>
      <c r="B142" s="19"/>
      <c r="C142" s="19"/>
      <c r="D142" s="19"/>
      <c r="E142" s="20"/>
      <c r="F142" s="21"/>
      <c r="G142" s="21"/>
      <c r="H142" s="22"/>
      <c r="I142" s="23" t="str">
        <f aca="false">IF(AND(G142="",H142=""),"",IF(G142&lt;&gt;"",G142,H142/Listes!$D$5))</f>
        <v/>
      </c>
      <c r="J142" s="24" t="str">
        <f aca="false">IF(AND(F142="",G142="",H142=""),"",SUM(F$7:F142)-SUM(I$7:I142))</f>
        <v/>
      </c>
    </row>
    <row r="143" customFormat="false" ht="15" hidden="false" customHeight="false" outlineLevel="0" collapsed="false">
      <c r="A143" s="18"/>
      <c r="B143" s="19"/>
      <c r="C143" s="19"/>
      <c r="D143" s="19"/>
      <c r="E143" s="20"/>
      <c r="F143" s="21"/>
      <c r="G143" s="21"/>
      <c r="H143" s="22"/>
      <c r="I143" s="23" t="str">
        <f aca="false">IF(AND(G143="",H143=""),"",IF(G143&lt;&gt;"",G143,H143/Listes!$D$5))</f>
        <v/>
      </c>
      <c r="J143" s="24" t="str">
        <f aca="false">IF(AND(F143="",G143="",H143=""),"",SUM(F$7:F143)-SUM(I$7:I143))</f>
        <v/>
      </c>
    </row>
    <row r="144" customFormat="false" ht="15" hidden="false" customHeight="false" outlineLevel="0" collapsed="false">
      <c r="A144" s="18"/>
      <c r="B144" s="19"/>
      <c r="C144" s="19"/>
      <c r="D144" s="19"/>
      <c r="E144" s="20"/>
      <c r="F144" s="21"/>
      <c r="G144" s="21"/>
      <c r="H144" s="22"/>
      <c r="I144" s="23" t="str">
        <f aca="false">IF(AND(G144="",H144=""),"",IF(G144&lt;&gt;"",G144,H144/Listes!$D$5))</f>
        <v/>
      </c>
      <c r="J144" s="24" t="str">
        <f aca="false">IF(AND(F144="",G144="",H144=""),"",SUM(F$7:F144)-SUM(I$7:I144))</f>
        <v/>
      </c>
    </row>
    <row r="145" customFormat="false" ht="15" hidden="false" customHeight="false" outlineLevel="0" collapsed="false">
      <c r="A145" s="18"/>
      <c r="B145" s="19"/>
      <c r="C145" s="19"/>
      <c r="D145" s="19"/>
      <c r="E145" s="20"/>
      <c r="F145" s="21"/>
      <c r="G145" s="21"/>
      <c r="H145" s="22"/>
      <c r="I145" s="23" t="str">
        <f aca="false">IF(AND(G145="",H145=""),"",IF(G145&lt;&gt;"",G145,H145/Listes!$D$5))</f>
        <v/>
      </c>
      <c r="J145" s="24" t="str">
        <f aca="false">IF(AND(F145="",G145="",H145=""),"",SUM(F$7:F145)-SUM(I$7:I145))</f>
        <v/>
      </c>
    </row>
    <row r="146" customFormat="false" ht="15" hidden="false" customHeight="false" outlineLevel="0" collapsed="false">
      <c r="A146" s="18"/>
      <c r="B146" s="19"/>
      <c r="C146" s="19"/>
      <c r="D146" s="19"/>
      <c r="E146" s="20"/>
      <c r="F146" s="21"/>
      <c r="G146" s="21"/>
      <c r="H146" s="22"/>
      <c r="I146" s="23" t="str">
        <f aca="false">IF(AND(G146="",H146=""),"",IF(G146&lt;&gt;"",G146,H146/Listes!$D$5))</f>
        <v/>
      </c>
      <c r="J146" s="24" t="str">
        <f aca="false">IF(AND(F146="",G146="",H146=""),"",SUM(F$7:F146)-SUM(I$7:I146))</f>
        <v/>
      </c>
    </row>
    <row r="147" customFormat="false" ht="15" hidden="false" customHeight="false" outlineLevel="0" collapsed="false">
      <c r="A147" s="18"/>
      <c r="B147" s="19"/>
      <c r="C147" s="19"/>
      <c r="D147" s="19"/>
      <c r="E147" s="20"/>
      <c r="F147" s="21"/>
      <c r="G147" s="21"/>
      <c r="H147" s="22"/>
      <c r="I147" s="23" t="str">
        <f aca="false">IF(AND(G147="",H147=""),"",IF(G147&lt;&gt;"",G147,H147/Listes!$D$5))</f>
        <v/>
      </c>
      <c r="J147" s="24" t="str">
        <f aca="false">IF(AND(F147="",G147="",H147=""),"",SUM(F$7:F147)-SUM(I$7:I147))</f>
        <v/>
      </c>
    </row>
    <row r="148" customFormat="false" ht="15" hidden="false" customHeight="false" outlineLevel="0" collapsed="false">
      <c r="A148" s="18"/>
      <c r="B148" s="19"/>
      <c r="C148" s="19"/>
      <c r="D148" s="19"/>
      <c r="E148" s="20"/>
      <c r="F148" s="21"/>
      <c r="G148" s="21"/>
      <c r="H148" s="22"/>
      <c r="I148" s="23" t="str">
        <f aca="false">IF(AND(G148="",H148=""),"",IF(G148&lt;&gt;"",G148,H148/Listes!$D$5))</f>
        <v/>
      </c>
      <c r="J148" s="24" t="str">
        <f aca="false">IF(AND(F148="",G148="",H148=""),"",SUM(F$7:F148)-SUM(I$7:I148))</f>
        <v/>
      </c>
    </row>
    <row r="149" customFormat="false" ht="15" hidden="false" customHeight="false" outlineLevel="0" collapsed="false">
      <c r="A149" s="18"/>
      <c r="B149" s="19"/>
      <c r="C149" s="19"/>
      <c r="D149" s="19"/>
      <c r="E149" s="20"/>
      <c r="F149" s="21"/>
      <c r="G149" s="21"/>
      <c r="H149" s="22"/>
      <c r="I149" s="23" t="str">
        <f aca="false">IF(AND(G149="",H149=""),"",IF(G149&lt;&gt;"",G149,H149/Listes!$D$5))</f>
        <v/>
      </c>
      <c r="J149" s="24" t="str">
        <f aca="false">IF(AND(F149="",G149="",H149=""),"",SUM(F$7:F149)-SUM(I$7:I149))</f>
        <v/>
      </c>
    </row>
    <row r="150" customFormat="false" ht="15" hidden="false" customHeight="false" outlineLevel="0" collapsed="false">
      <c r="A150" s="18"/>
      <c r="B150" s="19"/>
      <c r="C150" s="19"/>
      <c r="D150" s="19"/>
      <c r="E150" s="20"/>
      <c r="F150" s="21"/>
      <c r="G150" s="21"/>
      <c r="H150" s="22"/>
      <c r="I150" s="23" t="str">
        <f aca="false">IF(AND(G150="",H150=""),"",IF(G150&lt;&gt;"",G150,H150/Listes!$D$5))</f>
        <v/>
      </c>
      <c r="J150" s="24" t="str">
        <f aca="false">IF(AND(F150="",G150="",H150=""),"",SUM(F$7:F150)-SUM(I$7:I150))</f>
        <v/>
      </c>
    </row>
    <row r="151" customFormat="false" ht="15" hidden="false" customHeight="false" outlineLevel="0" collapsed="false">
      <c r="A151" s="18"/>
      <c r="B151" s="19"/>
      <c r="C151" s="19"/>
      <c r="D151" s="19"/>
      <c r="E151" s="20"/>
      <c r="F151" s="21"/>
      <c r="G151" s="21"/>
      <c r="H151" s="22"/>
      <c r="I151" s="23" t="str">
        <f aca="false">IF(AND(G151="",H151=""),"",IF(G151&lt;&gt;"",G151,H151/Listes!$D$5))</f>
        <v/>
      </c>
      <c r="J151" s="24" t="str">
        <f aca="false">IF(AND(F151="",G151="",H151=""),"",SUM(F$7:F151)-SUM(I$7:I151))</f>
        <v/>
      </c>
    </row>
    <row r="152" customFormat="false" ht="15" hidden="false" customHeight="false" outlineLevel="0" collapsed="false">
      <c r="A152" s="18"/>
      <c r="B152" s="19"/>
      <c r="C152" s="19"/>
      <c r="D152" s="19"/>
      <c r="E152" s="20"/>
      <c r="F152" s="21"/>
      <c r="G152" s="21"/>
      <c r="H152" s="22"/>
      <c r="I152" s="23" t="str">
        <f aca="false">IF(AND(G152="",H152=""),"",IF(G152&lt;&gt;"",G152,H152/Listes!$D$5))</f>
        <v/>
      </c>
      <c r="J152" s="24" t="str">
        <f aca="false">IF(AND(F152="",G152="",H152=""),"",SUM(F$7:F152)-SUM(I$7:I152))</f>
        <v/>
      </c>
    </row>
    <row r="153" customFormat="false" ht="15" hidden="false" customHeight="false" outlineLevel="0" collapsed="false">
      <c r="A153" s="18"/>
      <c r="B153" s="19"/>
      <c r="C153" s="19"/>
      <c r="D153" s="19"/>
      <c r="E153" s="20"/>
      <c r="F153" s="21"/>
      <c r="G153" s="21"/>
      <c r="H153" s="22"/>
      <c r="I153" s="23" t="str">
        <f aca="false">IF(AND(G153="",H153=""),"",IF(G153&lt;&gt;"",G153,H153/Listes!$D$5))</f>
        <v/>
      </c>
      <c r="J153" s="24" t="str">
        <f aca="false">IF(AND(F153="",G153="",H153=""),"",SUM(F$7:F153)-SUM(I$7:I153))</f>
        <v/>
      </c>
    </row>
    <row r="154" customFormat="false" ht="15" hidden="false" customHeight="false" outlineLevel="0" collapsed="false">
      <c r="A154" s="18"/>
      <c r="B154" s="19"/>
      <c r="C154" s="19"/>
      <c r="D154" s="19"/>
      <c r="E154" s="20"/>
      <c r="F154" s="21"/>
      <c r="G154" s="21"/>
      <c r="H154" s="22"/>
      <c r="I154" s="23" t="str">
        <f aca="false">IF(AND(G154="",H154=""),"",IF(G154&lt;&gt;"",G154,H154/Listes!$D$5))</f>
        <v/>
      </c>
      <c r="J154" s="24" t="str">
        <f aca="false">IF(AND(F154="",G154="",H154=""),"",SUM(F$7:F154)-SUM(I$7:I154))</f>
        <v/>
      </c>
    </row>
    <row r="155" customFormat="false" ht="15" hidden="false" customHeight="false" outlineLevel="0" collapsed="false">
      <c r="A155" s="18"/>
      <c r="B155" s="19"/>
      <c r="C155" s="19"/>
      <c r="D155" s="19"/>
      <c r="E155" s="20"/>
      <c r="F155" s="21"/>
      <c r="G155" s="21"/>
      <c r="H155" s="22"/>
      <c r="I155" s="23" t="str">
        <f aca="false">IF(AND(G155="",H155=""),"",IF(G155&lt;&gt;"",G155,H155/Listes!$D$5))</f>
        <v/>
      </c>
      <c r="J155" s="24" t="str">
        <f aca="false">IF(AND(F155="",G155="",H155=""),"",SUM(F$7:F155)-SUM(I$7:I155))</f>
        <v/>
      </c>
    </row>
    <row r="156" customFormat="false" ht="15" hidden="false" customHeight="false" outlineLevel="0" collapsed="false">
      <c r="A156" s="18"/>
      <c r="B156" s="19"/>
      <c r="C156" s="19"/>
      <c r="D156" s="19"/>
      <c r="E156" s="20"/>
      <c r="F156" s="21"/>
      <c r="G156" s="21"/>
      <c r="H156" s="22"/>
      <c r="I156" s="23" t="str">
        <f aca="false">IF(AND(G156="",H156=""),"",IF(G156&lt;&gt;"",G156,H156/Listes!$D$5))</f>
        <v/>
      </c>
      <c r="J156" s="24" t="str">
        <f aca="false">IF(AND(F156="",G156="",H156=""),"",SUM(F$7:F156)-SUM(I$7:I156))</f>
        <v/>
      </c>
    </row>
    <row r="157" customFormat="false" ht="15" hidden="false" customHeight="false" outlineLevel="0" collapsed="false">
      <c r="A157" s="18"/>
      <c r="B157" s="19"/>
      <c r="C157" s="19"/>
      <c r="D157" s="19"/>
      <c r="E157" s="20"/>
      <c r="F157" s="21"/>
      <c r="G157" s="21"/>
      <c r="H157" s="22"/>
      <c r="I157" s="23" t="str">
        <f aca="false">IF(AND(G157="",H157=""),"",IF(G157&lt;&gt;"",G157,H157/Listes!$D$5))</f>
        <v/>
      </c>
      <c r="J157" s="24" t="str">
        <f aca="false">IF(AND(F157="",G157="",H157=""),"",SUM(F$7:F157)-SUM(I$7:I157))</f>
        <v/>
      </c>
    </row>
    <row r="158" customFormat="false" ht="15" hidden="false" customHeight="false" outlineLevel="0" collapsed="false">
      <c r="A158" s="18"/>
      <c r="B158" s="19"/>
      <c r="C158" s="19"/>
      <c r="D158" s="19"/>
      <c r="E158" s="20"/>
      <c r="F158" s="21"/>
      <c r="G158" s="21"/>
      <c r="H158" s="22"/>
      <c r="I158" s="23" t="str">
        <f aca="false">IF(AND(G158="",H158=""),"",IF(G158&lt;&gt;"",G158,H158/Listes!$D$5))</f>
        <v/>
      </c>
      <c r="J158" s="24" t="str">
        <f aca="false">IF(AND(F158="",G158="",H158=""),"",SUM(F$7:F158)-SUM(I$7:I158))</f>
        <v/>
      </c>
    </row>
    <row r="159" customFormat="false" ht="15" hidden="false" customHeight="false" outlineLevel="0" collapsed="false">
      <c r="A159" s="18"/>
      <c r="B159" s="19"/>
      <c r="C159" s="19"/>
      <c r="D159" s="19"/>
      <c r="E159" s="20"/>
      <c r="F159" s="21"/>
      <c r="G159" s="21"/>
      <c r="H159" s="22"/>
      <c r="I159" s="23" t="str">
        <f aca="false">IF(AND(G159="",H159=""),"",IF(G159&lt;&gt;"",G159,H159/Listes!$D$5))</f>
        <v/>
      </c>
      <c r="J159" s="24" t="str">
        <f aca="false">IF(AND(F159="",G159="",H159=""),"",SUM(F$7:F159)-SUM(I$7:I159))</f>
        <v/>
      </c>
    </row>
    <row r="160" customFormat="false" ht="15" hidden="false" customHeight="false" outlineLevel="0" collapsed="false">
      <c r="A160" s="18"/>
      <c r="B160" s="19"/>
      <c r="C160" s="19"/>
      <c r="D160" s="19"/>
      <c r="E160" s="20"/>
      <c r="F160" s="21"/>
      <c r="G160" s="21"/>
      <c r="H160" s="22"/>
      <c r="I160" s="23" t="str">
        <f aca="false">IF(AND(G160="",H160=""),"",IF(G160&lt;&gt;"",G160,H160/Listes!$D$5))</f>
        <v/>
      </c>
      <c r="J160" s="24" t="str">
        <f aca="false">IF(AND(F160="",G160="",H160=""),"",SUM(F$7:F160)-SUM(I$7:I160))</f>
        <v/>
      </c>
    </row>
    <row r="161" customFormat="false" ht="15" hidden="false" customHeight="false" outlineLevel="0" collapsed="false">
      <c r="A161" s="18"/>
      <c r="B161" s="19"/>
      <c r="C161" s="19"/>
      <c r="D161" s="19"/>
      <c r="E161" s="20"/>
      <c r="F161" s="21"/>
      <c r="G161" s="21"/>
      <c r="H161" s="22"/>
      <c r="I161" s="23" t="str">
        <f aca="false">IF(AND(G161="",H161=""),"",IF(G161&lt;&gt;"",G161,H161/Listes!$D$5))</f>
        <v/>
      </c>
      <c r="J161" s="24" t="str">
        <f aca="false">IF(AND(F161="",G161="",H161=""),"",SUM(F$7:F161)-SUM(I$7:I161))</f>
        <v/>
      </c>
    </row>
    <row r="162" customFormat="false" ht="15" hidden="false" customHeight="false" outlineLevel="0" collapsed="false">
      <c r="A162" s="18"/>
      <c r="B162" s="19"/>
      <c r="C162" s="19"/>
      <c r="D162" s="19"/>
      <c r="E162" s="20"/>
      <c r="F162" s="21"/>
      <c r="G162" s="21"/>
      <c r="H162" s="22"/>
      <c r="I162" s="23" t="str">
        <f aca="false">IF(AND(G162="",H162=""),"",IF(G162&lt;&gt;"",G162,H162/Listes!$D$5))</f>
        <v/>
      </c>
      <c r="J162" s="24" t="str">
        <f aca="false">IF(AND(F162="",G162="",H162=""),"",SUM(F$7:F162)-SUM(I$7:I162))</f>
        <v/>
      </c>
    </row>
    <row r="163" customFormat="false" ht="15" hidden="false" customHeight="false" outlineLevel="0" collapsed="false">
      <c r="A163" s="18"/>
      <c r="B163" s="19"/>
      <c r="C163" s="19"/>
      <c r="D163" s="19"/>
      <c r="E163" s="20"/>
      <c r="F163" s="21"/>
      <c r="G163" s="21"/>
      <c r="H163" s="22"/>
      <c r="I163" s="23" t="str">
        <f aca="false">IF(AND(G163="",H163=""),"",IF(G163&lt;&gt;"",G163,H163/Listes!$D$5))</f>
        <v/>
      </c>
      <c r="J163" s="24" t="str">
        <f aca="false">IF(AND(F163="",G163="",H163=""),"",SUM(F$7:F163)-SUM(I$7:I163))</f>
        <v/>
      </c>
    </row>
    <row r="164" customFormat="false" ht="15" hidden="false" customHeight="false" outlineLevel="0" collapsed="false">
      <c r="A164" s="18"/>
      <c r="B164" s="19"/>
      <c r="C164" s="19"/>
      <c r="D164" s="19"/>
      <c r="E164" s="20"/>
      <c r="F164" s="21"/>
      <c r="G164" s="21"/>
      <c r="H164" s="22"/>
      <c r="I164" s="23" t="str">
        <f aca="false">IF(AND(G164="",H164=""),"",IF(G164&lt;&gt;"",G164,H164/Listes!$D$5))</f>
        <v/>
      </c>
      <c r="J164" s="24" t="str">
        <f aca="false">IF(AND(F164="",G164="",H164=""),"",SUM(F$7:F164)-SUM(I$7:I164))</f>
        <v/>
      </c>
    </row>
    <row r="165" customFormat="false" ht="15" hidden="false" customHeight="false" outlineLevel="0" collapsed="false">
      <c r="A165" s="18"/>
      <c r="B165" s="19"/>
      <c r="C165" s="19"/>
      <c r="D165" s="19"/>
      <c r="E165" s="20"/>
      <c r="F165" s="21"/>
      <c r="G165" s="21"/>
      <c r="H165" s="22"/>
      <c r="I165" s="23" t="str">
        <f aca="false">IF(AND(G165="",H165=""),"",IF(G165&lt;&gt;"",G165,H165/Listes!$D$5))</f>
        <v/>
      </c>
      <c r="J165" s="24" t="str">
        <f aca="false">IF(AND(F165="",G165="",H165=""),"",SUM(F$7:F165)-SUM(I$7:I165))</f>
        <v/>
      </c>
    </row>
    <row r="166" customFormat="false" ht="15" hidden="false" customHeight="false" outlineLevel="0" collapsed="false">
      <c r="A166" s="18"/>
      <c r="B166" s="19"/>
      <c r="C166" s="19"/>
      <c r="D166" s="19"/>
      <c r="E166" s="20"/>
      <c r="F166" s="21"/>
      <c r="G166" s="21"/>
      <c r="H166" s="22"/>
      <c r="I166" s="23" t="str">
        <f aca="false">IF(AND(G166="",H166=""),"",IF(G166&lt;&gt;"",G166,H166/Listes!$D$5))</f>
        <v/>
      </c>
      <c r="J166" s="24" t="str">
        <f aca="false">IF(AND(F166="",G166="",H166=""),"",SUM(F$7:F166)-SUM(I$7:I166))</f>
        <v/>
      </c>
    </row>
    <row r="167" customFormat="false" ht="15" hidden="false" customHeight="false" outlineLevel="0" collapsed="false">
      <c r="A167" s="18"/>
      <c r="B167" s="19"/>
      <c r="C167" s="19"/>
      <c r="D167" s="19"/>
      <c r="E167" s="20"/>
      <c r="F167" s="21"/>
      <c r="G167" s="21"/>
      <c r="H167" s="22"/>
      <c r="I167" s="23" t="str">
        <f aca="false">IF(AND(G167="",H167=""),"",IF(G167&lt;&gt;"",G167,H167/Listes!$D$5))</f>
        <v/>
      </c>
      <c r="J167" s="24" t="str">
        <f aca="false">IF(AND(F167="",G167="",H167=""),"",SUM(F$7:F167)-SUM(I$7:I167))</f>
        <v/>
      </c>
    </row>
    <row r="168" customFormat="false" ht="15" hidden="false" customHeight="false" outlineLevel="0" collapsed="false">
      <c r="A168" s="18"/>
      <c r="B168" s="19"/>
      <c r="C168" s="19"/>
      <c r="D168" s="19"/>
      <c r="E168" s="20"/>
      <c r="F168" s="21"/>
      <c r="G168" s="21"/>
      <c r="H168" s="22"/>
      <c r="I168" s="23" t="str">
        <f aca="false">IF(AND(G168="",H168=""),"",IF(G168&lt;&gt;"",G168,H168/Listes!$D$5))</f>
        <v/>
      </c>
      <c r="J168" s="24" t="str">
        <f aca="false">IF(AND(F168="",G168="",H168=""),"",SUM(F$7:F168)-SUM(I$7:I168))</f>
        <v/>
      </c>
    </row>
    <row r="169" customFormat="false" ht="15" hidden="false" customHeight="false" outlineLevel="0" collapsed="false">
      <c r="A169" s="18"/>
      <c r="B169" s="19"/>
      <c r="C169" s="19"/>
      <c r="D169" s="19"/>
      <c r="E169" s="20"/>
      <c r="F169" s="21"/>
      <c r="G169" s="21"/>
      <c r="H169" s="22"/>
      <c r="I169" s="23" t="str">
        <f aca="false">IF(AND(G169="",H169=""),"",IF(G169&lt;&gt;"",G169,H169/Listes!$D$5))</f>
        <v/>
      </c>
      <c r="J169" s="24" t="str">
        <f aca="false">IF(AND(F169="",G169="",H169=""),"",SUM(F$7:F169)-SUM(I$7:I169))</f>
        <v/>
      </c>
    </row>
    <row r="170" customFormat="false" ht="15" hidden="false" customHeight="false" outlineLevel="0" collapsed="false">
      <c r="A170" s="18"/>
      <c r="B170" s="19"/>
      <c r="C170" s="19"/>
      <c r="D170" s="19"/>
      <c r="E170" s="20"/>
      <c r="F170" s="21"/>
      <c r="G170" s="21"/>
      <c r="H170" s="22"/>
      <c r="I170" s="23" t="str">
        <f aca="false">IF(AND(G170="",H170=""),"",IF(G170&lt;&gt;"",G170,H170/Listes!$D$5))</f>
        <v/>
      </c>
      <c r="J170" s="24" t="str">
        <f aca="false">IF(AND(F170="",G170="",H170=""),"",SUM(F$7:F170)-SUM(I$7:I170))</f>
        <v/>
      </c>
    </row>
    <row r="171" customFormat="false" ht="15" hidden="false" customHeight="false" outlineLevel="0" collapsed="false">
      <c r="A171" s="18"/>
      <c r="B171" s="19"/>
      <c r="C171" s="19"/>
      <c r="D171" s="19"/>
      <c r="E171" s="20"/>
      <c r="F171" s="21"/>
      <c r="G171" s="21"/>
      <c r="H171" s="22"/>
      <c r="I171" s="23" t="str">
        <f aca="false">IF(AND(G171="",H171=""),"",IF(G171&lt;&gt;"",G171,H171/Listes!$D$5))</f>
        <v/>
      </c>
      <c r="J171" s="24" t="str">
        <f aca="false">IF(AND(F171="",G171="",H171=""),"",SUM(F$7:F171)-SUM(I$7:I171))</f>
        <v/>
      </c>
    </row>
    <row r="172" customFormat="false" ht="15" hidden="false" customHeight="false" outlineLevel="0" collapsed="false">
      <c r="A172" s="18"/>
      <c r="B172" s="19"/>
      <c r="C172" s="19"/>
      <c r="D172" s="19"/>
      <c r="E172" s="20"/>
      <c r="F172" s="21"/>
      <c r="G172" s="21"/>
      <c r="H172" s="22"/>
      <c r="I172" s="23" t="str">
        <f aca="false">IF(AND(G172="",H172=""),"",IF(G172&lt;&gt;"",G172,H172/Listes!$D$5))</f>
        <v/>
      </c>
      <c r="J172" s="24" t="str">
        <f aca="false">IF(AND(F172="",G172="",H172=""),"",SUM(F$7:F172)-SUM(I$7:I172))</f>
        <v/>
      </c>
    </row>
    <row r="173" customFormat="false" ht="15" hidden="false" customHeight="false" outlineLevel="0" collapsed="false">
      <c r="A173" s="18"/>
      <c r="B173" s="19"/>
      <c r="C173" s="19"/>
      <c r="D173" s="19"/>
      <c r="E173" s="20"/>
      <c r="F173" s="21"/>
      <c r="G173" s="21"/>
      <c r="H173" s="22"/>
      <c r="I173" s="23" t="str">
        <f aca="false">IF(AND(G173="",H173=""),"",IF(G173&lt;&gt;"",G173,H173/Listes!$D$5))</f>
        <v/>
      </c>
      <c r="J173" s="24" t="str">
        <f aca="false">IF(AND(F173="",G173="",H173=""),"",SUM(F$7:F173)-SUM(I$7:I173))</f>
        <v/>
      </c>
    </row>
    <row r="174" customFormat="false" ht="15" hidden="false" customHeight="false" outlineLevel="0" collapsed="false">
      <c r="A174" s="18"/>
      <c r="B174" s="19"/>
      <c r="C174" s="19"/>
      <c r="D174" s="19"/>
      <c r="E174" s="20"/>
      <c r="F174" s="21"/>
      <c r="G174" s="21"/>
      <c r="H174" s="22"/>
      <c r="I174" s="23" t="str">
        <f aca="false">IF(AND(G174="",H174=""),"",IF(G174&lt;&gt;"",G174,H174/Listes!$D$5))</f>
        <v/>
      </c>
      <c r="J174" s="24" t="str">
        <f aca="false">IF(AND(F174="",G174="",H174=""),"",SUM(F$7:F174)-SUM(I$7:I174))</f>
        <v/>
      </c>
    </row>
    <row r="175" customFormat="false" ht="15" hidden="false" customHeight="false" outlineLevel="0" collapsed="false">
      <c r="A175" s="18"/>
      <c r="B175" s="19"/>
      <c r="C175" s="19"/>
      <c r="D175" s="19"/>
      <c r="E175" s="20"/>
      <c r="F175" s="21"/>
      <c r="G175" s="21"/>
      <c r="H175" s="22"/>
      <c r="I175" s="23" t="str">
        <f aca="false">IF(AND(G175="",H175=""),"",IF(G175&lt;&gt;"",G175,H175/Listes!$D$5))</f>
        <v/>
      </c>
      <c r="J175" s="24" t="str">
        <f aca="false">IF(AND(F175="",G175="",H175=""),"",SUM(F$7:F175)-SUM(I$7:I175))</f>
        <v/>
      </c>
    </row>
    <row r="176" customFormat="false" ht="15" hidden="false" customHeight="false" outlineLevel="0" collapsed="false">
      <c r="A176" s="18"/>
      <c r="B176" s="19"/>
      <c r="C176" s="19"/>
      <c r="D176" s="19"/>
      <c r="E176" s="20"/>
      <c r="F176" s="21"/>
      <c r="G176" s="21"/>
      <c r="H176" s="22"/>
      <c r="I176" s="23" t="str">
        <f aca="false">IF(AND(G176="",H176=""),"",IF(G176&lt;&gt;"",G176,H176/Listes!$D$5))</f>
        <v/>
      </c>
      <c r="J176" s="24" t="str">
        <f aca="false">IF(AND(F176="",G176="",H176=""),"",SUM(F$7:F176)-SUM(I$7:I176))</f>
        <v/>
      </c>
    </row>
    <row r="177" customFormat="false" ht="15" hidden="false" customHeight="false" outlineLevel="0" collapsed="false">
      <c r="A177" s="18"/>
      <c r="B177" s="19"/>
      <c r="C177" s="19"/>
      <c r="D177" s="19"/>
      <c r="E177" s="20"/>
      <c r="F177" s="21"/>
      <c r="G177" s="21"/>
      <c r="H177" s="22"/>
      <c r="I177" s="23" t="str">
        <f aca="false">IF(AND(G177="",H177=""),"",IF(G177&lt;&gt;"",G177,H177/Listes!$D$5))</f>
        <v/>
      </c>
      <c r="J177" s="24" t="str">
        <f aca="false">IF(AND(F177="",G177="",H177=""),"",SUM(F$7:F177)-SUM(I$7:I177))</f>
        <v/>
      </c>
    </row>
    <row r="178" customFormat="false" ht="15" hidden="false" customHeight="false" outlineLevel="0" collapsed="false">
      <c r="A178" s="18"/>
      <c r="B178" s="19"/>
      <c r="C178" s="19"/>
      <c r="D178" s="19"/>
      <c r="E178" s="20"/>
      <c r="F178" s="21"/>
      <c r="G178" s="21"/>
      <c r="H178" s="22"/>
      <c r="I178" s="23" t="str">
        <f aca="false">IF(AND(G178="",H178=""),"",IF(G178&lt;&gt;"",G178,H178/Listes!$D$5))</f>
        <v/>
      </c>
      <c r="J178" s="24" t="str">
        <f aca="false">IF(AND(F178="",G178="",H178=""),"",SUM(F$7:F178)-SUM(I$7:I178))</f>
        <v/>
      </c>
    </row>
    <row r="179" customFormat="false" ht="15" hidden="false" customHeight="false" outlineLevel="0" collapsed="false">
      <c r="A179" s="18"/>
      <c r="B179" s="19"/>
      <c r="C179" s="19"/>
      <c r="D179" s="19"/>
      <c r="E179" s="20"/>
      <c r="F179" s="21"/>
      <c r="G179" s="21"/>
      <c r="H179" s="22"/>
      <c r="I179" s="23" t="str">
        <f aca="false">IF(AND(G179="",H179=""),"",IF(G179&lt;&gt;"",G179,H179/Listes!$D$5))</f>
        <v/>
      </c>
      <c r="J179" s="24" t="str">
        <f aca="false">IF(AND(F179="",G179="",H179=""),"",SUM(F$7:F179)-SUM(I$7:I179))</f>
        <v/>
      </c>
    </row>
    <row r="180" customFormat="false" ht="15" hidden="false" customHeight="false" outlineLevel="0" collapsed="false">
      <c r="A180" s="18"/>
      <c r="B180" s="19"/>
      <c r="C180" s="19"/>
      <c r="D180" s="19"/>
      <c r="E180" s="20"/>
      <c r="F180" s="21"/>
      <c r="G180" s="21"/>
      <c r="H180" s="22"/>
      <c r="I180" s="23" t="str">
        <f aca="false">IF(AND(G180="",H180=""),"",IF(G180&lt;&gt;"",G180,H180/Listes!$D$5))</f>
        <v/>
      </c>
      <c r="J180" s="24" t="str">
        <f aca="false">IF(AND(F180="",G180="",H180=""),"",SUM(F$7:F180)-SUM(I$7:I180))</f>
        <v/>
      </c>
    </row>
    <row r="181" customFormat="false" ht="15" hidden="false" customHeight="false" outlineLevel="0" collapsed="false">
      <c r="A181" s="18"/>
      <c r="B181" s="19"/>
      <c r="C181" s="19"/>
      <c r="D181" s="19"/>
      <c r="E181" s="20"/>
      <c r="F181" s="21"/>
      <c r="G181" s="21"/>
      <c r="H181" s="22"/>
      <c r="I181" s="23" t="str">
        <f aca="false">IF(AND(G181="",H181=""),"",IF(G181&lt;&gt;"",G181,H181/Listes!$D$5))</f>
        <v/>
      </c>
      <c r="J181" s="24" t="str">
        <f aca="false">IF(AND(F181="",G181="",H181=""),"",SUM(F$7:F181)-SUM(I$7:I181))</f>
        <v/>
      </c>
    </row>
    <row r="182" customFormat="false" ht="15" hidden="false" customHeight="false" outlineLevel="0" collapsed="false">
      <c r="A182" s="18"/>
      <c r="B182" s="19"/>
      <c r="C182" s="19"/>
      <c r="D182" s="19"/>
      <c r="E182" s="20"/>
      <c r="F182" s="21"/>
      <c r="G182" s="21"/>
      <c r="H182" s="22"/>
      <c r="I182" s="23" t="str">
        <f aca="false">IF(AND(G182="",H182=""),"",IF(G182&lt;&gt;"",G182,H182/Listes!$D$5))</f>
        <v/>
      </c>
      <c r="J182" s="24" t="str">
        <f aca="false">IF(AND(F182="",G182="",H182=""),"",SUM(F$7:F182)-SUM(I$7:I182))</f>
        <v/>
      </c>
    </row>
    <row r="183" customFormat="false" ht="15" hidden="false" customHeight="false" outlineLevel="0" collapsed="false">
      <c r="A183" s="18"/>
      <c r="B183" s="19"/>
      <c r="C183" s="19"/>
      <c r="D183" s="19"/>
      <c r="E183" s="20"/>
      <c r="F183" s="21"/>
      <c r="G183" s="21"/>
      <c r="H183" s="22"/>
      <c r="I183" s="23" t="str">
        <f aca="false">IF(AND(G183="",H183=""),"",IF(G183&lt;&gt;"",G183,H183/Listes!$D$5))</f>
        <v/>
      </c>
      <c r="J183" s="24" t="str">
        <f aca="false">IF(AND(F183="",G183="",H183=""),"",SUM(F$7:F183)-SUM(I$7:I183))</f>
        <v/>
      </c>
    </row>
    <row r="184" customFormat="false" ht="15" hidden="false" customHeight="false" outlineLevel="0" collapsed="false">
      <c r="A184" s="18"/>
      <c r="B184" s="19"/>
      <c r="C184" s="19"/>
      <c r="D184" s="19"/>
      <c r="E184" s="20"/>
      <c r="F184" s="21"/>
      <c r="G184" s="21"/>
      <c r="H184" s="22"/>
      <c r="I184" s="23" t="str">
        <f aca="false">IF(AND(G184="",H184=""),"",IF(G184&lt;&gt;"",G184,H184/Listes!$D$5))</f>
        <v/>
      </c>
      <c r="J184" s="24" t="str">
        <f aca="false">IF(AND(F184="",G184="",H184=""),"",SUM(F$7:F184)-SUM(I$7:I184))</f>
        <v/>
      </c>
    </row>
    <row r="185" customFormat="false" ht="15" hidden="false" customHeight="false" outlineLevel="0" collapsed="false">
      <c r="A185" s="18"/>
      <c r="B185" s="19"/>
      <c r="C185" s="19"/>
      <c r="D185" s="19"/>
      <c r="E185" s="20"/>
      <c r="F185" s="21"/>
      <c r="G185" s="21"/>
      <c r="H185" s="22"/>
      <c r="I185" s="23" t="str">
        <f aca="false">IF(AND(G185="",H185=""),"",IF(G185&lt;&gt;"",G185,H185/Listes!$D$5))</f>
        <v/>
      </c>
      <c r="J185" s="24" t="str">
        <f aca="false">IF(AND(F185="",G185="",H185=""),"",SUM(F$7:F185)-SUM(I$7:I185))</f>
        <v/>
      </c>
    </row>
    <row r="186" customFormat="false" ht="15" hidden="false" customHeight="false" outlineLevel="0" collapsed="false">
      <c r="A186" s="18"/>
      <c r="B186" s="19"/>
      <c r="C186" s="19"/>
      <c r="D186" s="19"/>
      <c r="E186" s="20"/>
      <c r="F186" s="21"/>
      <c r="G186" s="21"/>
      <c r="H186" s="22"/>
      <c r="I186" s="23" t="str">
        <f aca="false">IF(AND(G186="",H186=""),"",IF(G186&lt;&gt;"",G186,H186/Listes!$D$5))</f>
        <v/>
      </c>
      <c r="J186" s="24" t="str">
        <f aca="false">IF(AND(F186="",G186="",H186=""),"",SUM(F$7:F186)-SUM(I$7:I186))</f>
        <v/>
      </c>
    </row>
    <row r="187" customFormat="false" ht="15" hidden="false" customHeight="false" outlineLevel="0" collapsed="false">
      <c r="A187" s="18"/>
      <c r="B187" s="19"/>
      <c r="C187" s="19"/>
      <c r="D187" s="19"/>
      <c r="E187" s="20"/>
      <c r="F187" s="21"/>
      <c r="G187" s="21"/>
      <c r="H187" s="22"/>
      <c r="I187" s="23" t="str">
        <f aca="false">IF(AND(G187="",H187=""),"",IF(G187&lt;&gt;"",G187,H187/Listes!$D$5))</f>
        <v/>
      </c>
      <c r="J187" s="24" t="str">
        <f aca="false">IF(AND(F187="",G187="",H187=""),"",SUM(F$7:F187)-SUM(I$7:I187))</f>
        <v/>
      </c>
    </row>
    <row r="188" customFormat="false" ht="15" hidden="false" customHeight="false" outlineLevel="0" collapsed="false">
      <c r="A188" s="18"/>
      <c r="B188" s="19"/>
      <c r="C188" s="19"/>
      <c r="D188" s="19"/>
      <c r="E188" s="20"/>
      <c r="F188" s="21"/>
      <c r="G188" s="21"/>
      <c r="H188" s="22"/>
      <c r="I188" s="23" t="str">
        <f aca="false">IF(AND(G188="",H188=""),"",IF(G188&lt;&gt;"",G188,H188/Listes!$D$5))</f>
        <v/>
      </c>
      <c r="J188" s="24" t="str">
        <f aca="false">IF(AND(F188="",G188="",H188=""),"",SUM(F$7:F188)-SUM(I$7:I188))</f>
        <v/>
      </c>
    </row>
    <row r="189" customFormat="false" ht="15" hidden="false" customHeight="false" outlineLevel="0" collapsed="false">
      <c r="A189" s="18"/>
      <c r="B189" s="19"/>
      <c r="C189" s="19"/>
      <c r="D189" s="19"/>
      <c r="E189" s="20"/>
      <c r="F189" s="21"/>
      <c r="G189" s="21"/>
      <c r="H189" s="22"/>
      <c r="I189" s="23" t="str">
        <f aca="false">IF(AND(G189="",H189=""),"",IF(G189&lt;&gt;"",G189,H189/Listes!$D$5))</f>
        <v/>
      </c>
      <c r="J189" s="24" t="str">
        <f aca="false">IF(AND(F189="",G189="",H189=""),"",SUM(F$7:F189)-SUM(I$7:I189))</f>
        <v/>
      </c>
    </row>
    <row r="190" customFormat="false" ht="15" hidden="false" customHeight="false" outlineLevel="0" collapsed="false">
      <c r="A190" s="18"/>
      <c r="B190" s="19"/>
      <c r="C190" s="19"/>
      <c r="D190" s="19"/>
      <c r="E190" s="20"/>
      <c r="F190" s="21"/>
      <c r="G190" s="21"/>
      <c r="H190" s="22"/>
      <c r="I190" s="23" t="str">
        <f aca="false">IF(AND(G190="",H190=""),"",IF(G190&lt;&gt;"",G190,H190/Listes!$D$5))</f>
        <v/>
      </c>
      <c r="J190" s="24" t="str">
        <f aca="false">IF(AND(F190="",G190="",H190=""),"",SUM(F$7:F190)-SUM(I$7:I190))</f>
        <v/>
      </c>
    </row>
    <row r="191" customFormat="false" ht="15" hidden="false" customHeight="false" outlineLevel="0" collapsed="false">
      <c r="A191" s="18"/>
      <c r="B191" s="19"/>
      <c r="C191" s="19"/>
      <c r="D191" s="19"/>
      <c r="E191" s="20"/>
      <c r="F191" s="21"/>
      <c r="G191" s="21"/>
      <c r="H191" s="22"/>
      <c r="I191" s="23" t="str">
        <f aca="false">IF(AND(G191="",H191=""),"",IF(G191&lt;&gt;"",G191,H191/Listes!$D$5))</f>
        <v/>
      </c>
      <c r="J191" s="24" t="str">
        <f aca="false">IF(AND(F191="",G191="",H191=""),"",SUM(F$7:F191)-SUM(I$7:I191))</f>
        <v/>
      </c>
    </row>
    <row r="192" customFormat="false" ht="15" hidden="false" customHeight="false" outlineLevel="0" collapsed="false">
      <c r="A192" s="18"/>
      <c r="B192" s="19"/>
      <c r="C192" s="19"/>
      <c r="D192" s="19"/>
      <c r="E192" s="20"/>
      <c r="F192" s="21"/>
      <c r="G192" s="21"/>
      <c r="H192" s="22"/>
      <c r="I192" s="23" t="str">
        <f aca="false">IF(AND(G192="",H192=""),"",IF(G192&lt;&gt;"",G192,H192/Listes!$D$5))</f>
        <v/>
      </c>
      <c r="J192" s="24" t="str">
        <f aca="false">IF(AND(F192="",G192="",H192=""),"",SUM(F$7:F192)-SUM(I$7:I192))</f>
        <v/>
      </c>
    </row>
    <row r="193" customFormat="false" ht="15" hidden="false" customHeight="false" outlineLevel="0" collapsed="false">
      <c r="A193" s="18"/>
      <c r="B193" s="19"/>
      <c r="C193" s="19"/>
      <c r="D193" s="19"/>
      <c r="E193" s="20"/>
      <c r="F193" s="21"/>
      <c r="G193" s="21"/>
      <c r="H193" s="22"/>
      <c r="I193" s="23" t="str">
        <f aca="false">IF(AND(G193="",H193=""),"",IF(G193&lt;&gt;"",G193,H193/Listes!$D$5))</f>
        <v/>
      </c>
      <c r="J193" s="24" t="str">
        <f aca="false">IF(AND(F193="",G193="",H193=""),"",SUM(F$7:F193)-SUM(I$7:I193))</f>
        <v/>
      </c>
    </row>
    <row r="194" customFormat="false" ht="15" hidden="false" customHeight="false" outlineLevel="0" collapsed="false">
      <c r="A194" s="18"/>
      <c r="B194" s="19"/>
      <c r="C194" s="19"/>
      <c r="D194" s="19"/>
      <c r="E194" s="20"/>
      <c r="F194" s="21"/>
      <c r="G194" s="21"/>
      <c r="H194" s="22"/>
      <c r="I194" s="23" t="str">
        <f aca="false">IF(AND(G194="",H194=""),"",IF(G194&lt;&gt;"",G194,H194/Listes!$D$5))</f>
        <v/>
      </c>
      <c r="J194" s="24" t="str">
        <f aca="false">IF(AND(F194="",G194="",H194=""),"",SUM(F$7:F194)-SUM(I$7:I194))</f>
        <v/>
      </c>
    </row>
    <row r="195" customFormat="false" ht="15" hidden="false" customHeight="false" outlineLevel="0" collapsed="false">
      <c r="A195" s="18"/>
      <c r="B195" s="19"/>
      <c r="C195" s="19"/>
      <c r="D195" s="19"/>
      <c r="E195" s="20"/>
      <c r="F195" s="21"/>
      <c r="G195" s="21"/>
      <c r="H195" s="22"/>
      <c r="I195" s="23" t="str">
        <f aca="false">IF(AND(G195="",H195=""),"",IF(G195&lt;&gt;"",G195,H195/Listes!$D$5))</f>
        <v/>
      </c>
      <c r="J195" s="24" t="str">
        <f aca="false">IF(AND(F195="",G195="",H195=""),"",SUM(F$7:F195)-SUM(I$7:I195))</f>
        <v/>
      </c>
    </row>
    <row r="196" customFormat="false" ht="15" hidden="false" customHeight="false" outlineLevel="0" collapsed="false">
      <c r="A196" s="18"/>
      <c r="B196" s="19"/>
      <c r="C196" s="19"/>
      <c r="D196" s="19"/>
      <c r="E196" s="20"/>
      <c r="F196" s="21"/>
      <c r="G196" s="21"/>
      <c r="H196" s="22"/>
      <c r="I196" s="23" t="str">
        <f aca="false">IF(AND(G196="",H196=""),"",IF(G196&lt;&gt;"",G196,H196/Listes!$D$5))</f>
        <v/>
      </c>
      <c r="J196" s="24" t="str">
        <f aca="false">IF(AND(F196="",G196="",H196=""),"",SUM(F$7:F196)-SUM(I$7:I196))</f>
        <v/>
      </c>
    </row>
    <row r="197" customFormat="false" ht="15" hidden="false" customHeight="false" outlineLevel="0" collapsed="false">
      <c r="A197" s="18"/>
      <c r="B197" s="19"/>
      <c r="C197" s="19"/>
      <c r="D197" s="19"/>
      <c r="E197" s="20"/>
      <c r="F197" s="21"/>
      <c r="G197" s="21"/>
      <c r="H197" s="22"/>
      <c r="I197" s="23" t="str">
        <f aca="false">IF(AND(G197="",H197=""),"",IF(G197&lt;&gt;"",G197,H197/Listes!$D$5))</f>
        <v/>
      </c>
      <c r="J197" s="24" t="str">
        <f aca="false">IF(AND(F197="",G197="",H197=""),"",SUM(F$7:F197)-SUM(I$7:I197))</f>
        <v/>
      </c>
    </row>
    <row r="198" customFormat="false" ht="15" hidden="false" customHeight="false" outlineLevel="0" collapsed="false">
      <c r="A198" s="18"/>
      <c r="B198" s="19"/>
      <c r="C198" s="19"/>
      <c r="D198" s="19"/>
      <c r="E198" s="20"/>
      <c r="F198" s="21"/>
      <c r="G198" s="21"/>
      <c r="H198" s="22"/>
      <c r="I198" s="23" t="str">
        <f aca="false">IF(AND(G198="",H198=""),"",IF(G198&lt;&gt;"",G198,H198/Listes!$D$5))</f>
        <v/>
      </c>
      <c r="J198" s="24" t="str">
        <f aca="false">IF(AND(F198="",G198="",H198=""),"",SUM(F$7:F198)-SUM(I$7:I198))</f>
        <v/>
      </c>
    </row>
    <row r="199" customFormat="false" ht="15" hidden="false" customHeight="false" outlineLevel="0" collapsed="false">
      <c r="A199" s="18"/>
      <c r="B199" s="19"/>
      <c r="C199" s="19"/>
      <c r="D199" s="19"/>
      <c r="E199" s="20"/>
      <c r="F199" s="21"/>
      <c r="G199" s="21"/>
      <c r="H199" s="22"/>
      <c r="I199" s="23" t="str">
        <f aca="false">IF(AND(G199="",H199=""),"",IF(G199&lt;&gt;"",G199,H199/Listes!$D$5))</f>
        <v/>
      </c>
      <c r="J199" s="24" t="str">
        <f aca="false">IF(AND(F199="",G199="",H199=""),"",SUM(F$7:F199)-SUM(I$7:I199))</f>
        <v/>
      </c>
    </row>
    <row r="200" customFormat="false" ht="15" hidden="false" customHeight="false" outlineLevel="0" collapsed="false">
      <c r="A200" s="18"/>
      <c r="B200" s="19"/>
      <c r="C200" s="19"/>
      <c r="D200" s="19"/>
      <c r="E200" s="20"/>
      <c r="F200" s="21"/>
      <c r="G200" s="21"/>
      <c r="H200" s="22"/>
      <c r="I200" s="23" t="str">
        <f aca="false">IF(AND(G200="",H200=""),"",IF(G200&lt;&gt;"",G200,H200/Listes!$D$5))</f>
        <v/>
      </c>
      <c r="J200" s="24" t="str">
        <f aca="false">IF(AND(F200="",G200="",H200=""),"",SUM(F$7:F200)-SUM(I$7:I200))</f>
        <v/>
      </c>
    </row>
    <row r="201" customFormat="false" ht="15" hidden="false" customHeight="false" outlineLevel="0" collapsed="false">
      <c r="A201" s="18"/>
      <c r="B201" s="19"/>
      <c r="C201" s="19"/>
      <c r="D201" s="19"/>
      <c r="E201" s="20"/>
      <c r="F201" s="21"/>
      <c r="G201" s="21"/>
      <c r="H201" s="22"/>
      <c r="I201" s="23" t="str">
        <f aca="false">IF(AND(G201="",H201=""),"",IF(G201&lt;&gt;"",G201,H201/Listes!$D$5))</f>
        <v/>
      </c>
      <c r="J201" s="24" t="str">
        <f aca="false">IF(AND(F201="",G201="",H201=""),"",SUM(F$7:F201)-SUM(I$7:I201))</f>
        <v/>
      </c>
    </row>
    <row r="202" customFormat="false" ht="15" hidden="false" customHeight="false" outlineLevel="0" collapsed="false">
      <c r="A202" s="18"/>
      <c r="B202" s="19"/>
      <c r="C202" s="19"/>
      <c r="D202" s="19"/>
      <c r="E202" s="20"/>
      <c r="F202" s="21"/>
      <c r="G202" s="21"/>
      <c r="H202" s="22"/>
      <c r="I202" s="23" t="str">
        <f aca="false">IF(AND(G202="",H202=""),"",IF(G202&lt;&gt;"",G202,H202/Listes!$D$5))</f>
        <v/>
      </c>
      <c r="J202" s="24" t="str">
        <f aca="false">IF(AND(F202="",G202="",H202=""),"",SUM(F$7:F202)-SUM(I$7:I202))</f>
        <v/>
      </c>
    </row>
    <row r="203" customFormat="false" ht="15" hidden="false" customHeight="false" outlineLevel="0" collapsed="false">
      <c r="A203" s="18"/>
      <c r="B203" s="19"/>
      <c r="C203" s="19"/>
      <c r="D203" s="19"/>
      <c r="E203" s="20"/>
      <c r="F203" s="21"/>
      <c r="G203" s="21"/>
      <c r="H203" s="22"/>
      <c r="I203" s="23" t="str">
        <f aca="false">IF(AND(G203="",H203=""),"",IF(G203&lt;&gt;"",G203,H203/Listes!$D$5))</f>
        <v/>
      </c>
      <c r="J203" s="24" t="str">
        <f aca="false">IF(AND(F203="",G203="",H203=""),"",SUM(F$7:F203)-SUM(I$7:I203))</f>
        <v/>
      </c>
    </row>
    <row r="204" customFormat="false" ht="15" hidden="false" customHeight="false" outlineLevel="0" collapsed="false">
      <c r="A204" s="18"/>
      <c r="B204" s="19"/>
      <c r="C204" s="19"/>
      <c r="D204" s="19"/>
      <c r="E204" s="20"/>
      <c r="F204" s="21"/>
      <c r="G204" s="21"/>
      <c r="H204" s="22"/>
      <c r="I204" s="23" t="str">
        <f aca="false">IF(AND(G204="",H204=""),"",IF(G204&lt;&gt;"",G204,H204/Listes!$D$5))</f>
        <v/>
      </c>
      <c r="J204" s="24" t="str">
        <f aca="false">IF(AND(F204="",G204="",H204=""),"",SUM(F$7:F204)-SUM(I$7:I204))</f>
        <v/>
      </c>
    </row>
    <row r="205" customFormat="false" ht="15" hidden="false" customHeight="false" outlineLevel="0" collapsed="false">
      <c r="A205" s="18"/>
      <c r="B205" s="19"/>
      <c r="C205" s="19"/>
      <c r="D205" s="19"/>
      <c r="E205" s="20"/>
      <c r="F205" s="21"/>
      <c r="G205" s="21"/>
      <c r="H205" s="22"/>
      <c r="I205" s="23" t="str">
        <f aca="false">IF(AND(G205="",H205=""),"",IF(G205&lt;&gt;"",G205,H205/Listes!$D$5))</f>
        <v/>
      </c>
      <c r="J205" s="24" t="str">
        <f aca="false">IF(AND(F205="",G205="",H205=""),"",SUM(F$7:F205)-SUM(I$7:I205))</f>
        <v/>
      </c>
    </row>
    <row r="206" customFormat="false" ht="15" hidden="false" customHeight="false" outlineLevel="0" collapsed="false">
      <c r="A206" s="18"/>
      <c r="B206" s="19"/>
      <c r="C206" s="19"/>
      <c r="D206" s="19"/>
      <c r="E206" s="20"/>
      <c r="F206" s="21"/>
      <c r="G206" s="21"/>
      <c r="H206" s="22"/>
      <c r="I206" s="23" t="str">
        <f aca="false">IF(AND(G206="",H206=""),"",IF(G206&lt;&gt;"",G206,H206/Listes!$D$5))</f>
        <v/>
      </c>
      <c r="J206" s="24" t="str">
        <f aca="false">IF(AND(F206="",G206="",H206=""),"",SUM(F$7:F206)-SUM(I$7:I206))</f>
        <v/>
      </c>
    </row>
    <row r="207" customFormat="false" ht="15" hidden="false" customHeight="false" outlineLevel="0" collapsed="false">
      <c r="A207" s="18"/>
      <c r="B207" s="19"/>
      <c r="C207" s="19"/>
      <c r="D207" s="19"/>
      <c r="E207" s="20"/>
      <c r="F207" s="21"/>
      <c r="G207" s="21"/>
      <c r="H207" s="22"/>
      <c r="I207" s="23" t="str">
        <f aca="false">IF(AND(G207="",H207=""),"",IF(G207&lt;&gt;"",G207,H207/Listes!$D$5))</f>
        <v/>
      </c>
      <c r="J207" s="24" t="str">
        <f aca="false">IF(AND(F207="",G207="",H207=""),"",SUM(F$7:F207)-SUM(I$7:I207))</f>
        <v/>
      </c>
    </row>
    <row r="208" customFormat="false" ht="15" hidden="false" customHeight="false" outlineLevel="0" collapsed="false">
      <c r="A208" s="18"/>
      <c r="B208" s="19"/>
      <c r="C208" s="19"/>
      <c r="D208" s="19"/>
      <c r="E208" s="20"/>
      <c r="F208" s="21"/>
      <c r="G208" s="21"/>
      <c r="H208" s="22"/>
      <c r="I208" s="23" t="str">
        <f aca="false">IF(AND(G208="",H208=""),"",IF(G208&lt;&gt;"",G208,H208/Listes!$D$5))</f>
        <v/>
      </c>
      <c r="J208" s="24" t="str">
        <f aca="false">IF(AND(F208="",G208="",H208=""),"",SUM(F$7:F208)-SUM(I$7:I208))</f>
        <v/>
      </c>
    </row>
    <row r="209" customFormat="false" ht="15" hidden="false" customHeight="false" outlineLevel="0" collapsed="false">
      <c r="A209" s="18"/>
      <c r="B209" s="19"/>
      <c r="C209" s="19"/>
      <c r="D209" s="19"/>
      <c r="E209" s="20"/>
      <c r="F209" s="21"/>
      <c r="G209" s="21"/>
      <c r="H209" s="22"/>
      <c r="I209" s="23" t="str">
        <f aca="false">IF(AND(G209="",H209=""),"",IF(G209&lt;&gt;"",G209,H209/Listes!$D$5))</f>
        <v/>
      </c>
      <c r="J209" s="24" t="str">
        <f aca="false">IF(AND(F209="",G209="",H209=""),"",SUM(F$7:F209)-SUM(I$7:I209))</f>
        <v/>
      </c>
    </row>
    <row r="210" customFormat="false" ht="15" hidden="false" customHeight="false" outlineLevel="0" collapsed="false">
      <c r="A210" s="18"/>
      <c r="B210" s="19"/>
      <c r="C210" s="19"/>
      <c r="D210" s="19"/>
      <c r="E210" s="20"/>
      <c r="F210" s="21"/>
      <c r="G210" s="21"/>
      <c r="H210" s="22"/>
      <c r="I210" s="23" t="str">
        <f aca="false">IF(AND(G210="",H210=""),"",IF(G210&lt;&gt;"",G210,H210/Listes!$D$5))</f>
        <v/>
      </c>
      <c r="J210" s="24" t="str">
        <f aca="false">IF(AND(F210="",G210="",H210=""),"",SUM(F$7:F210)-SUM(I$7:I210))</f>
        <v/>
      </c>
    </row>
    <row r="211" customFormat="false" ht="15" hidden="false" customHeight="false" outlineLevel="0" collapsed="false">
      <c r="A211" s="18"/>
      <c r="B211" s="19"/>
      <c r="C211" s="19"/>
      <c r="D211" s="19"/>
      <c r="E211" s="20"/>
      <c r="F211" s="21"/>
      <c r="G211" s="21"/>
      <c r="H211" s="22"/>
      <c r="I211" s="23" t="str">
        <f aca="false">IF(AND(G211="",H211=""),"",IF(G211&lt;&gt;"",G211,H211/Listes!$D$5))</f>
        <v/>
      </c>
      <c r="J211" s="24" t="str">
        <f aca="false">IF(AND(F211="",G211="",H211=""),"",SUM(F$7:F211)-SUM(I$7:I211))</f>
        <v/>
      </c>
    </row>
    <row r="212" customFormat="false" ht="15" hidden="false" customHeight="false" outlineLevel="0" collapsed="false">
      <c r="A212" s="18"/>
      <c r="B212" s="19"/>
      <c r="C212" s="19"/>
      <c r="D212" s="19"/>
      <c r="E212" s="20"/>
      <c r="F212" s="21"/>
      <c r="G212" s="21"/>
      <c r="H212" s="22"/>
      <c r="I212" s="23" t="str">
        <f aca="false">IF(AND(G212="",H212=""),"",IF(G212&lt;&gt;"",G212,H212/Listes!$D$5))</f>
        <v/>
      </c>
      <c r="J212" s="24" t="str">
        <f aca="false">IF(AND(F212="",G212="",H212=""),"",SUM(F$7:F212)-SUM(I$7:I212))</f>
        <v/>
      </c>
    </row>
    <row r="213" customFormat="false" ht="15" hidden="false" customHeight="false" outlineLevel="0" collapsed="false">
      <c r="A213" s="18"/>
      <c r="B213" s="19"/>
      <c r="C213" s="19"/>
      <c r="D213" s="19"/>
      <c r="E213" s="20"/>
      <c r="F213" s="21"/>
      <c r="G213" s="21"/>
      <c r="H213" s="22"/>
      <c r="I213" s="23" t="str">
        <f aca="false">IF(AND(G213="",H213=""),"",IF(G213&lt;&gt;"",G213,H213/Listes!$D$5))</f>
        <v/>
      </c>
      <c r="J213" s="24" t="str">
        <f aca="false">IF(AND(F213="",G213="",H213=""),"",SUM(F$7:F213)-SUM(I$7:I213))</f>
        <v/>
      </c>
    </row>
    <row r="214" customFormat="false" ht="15" hidden="false" customHeight="false" outlineLevel="0" collapsed="false">
      <c r="A214" s="18"/>
      <c r="B214" s="19"/>
      <c r="C214" s="19"/>
      <c r="D214" s="19"/>
      <c r="E214" s="20"/>
      <c r="F214" s="21"/>
      <c r="G214" s="21"/>
      <c r="H214" s="22"/>
      <c r="I214" s="23" t="str">
        <f aca="false">IF(AND(G214="",H214=""),"",IF(G214&lt;&gt;"",G214,H214/Listes!$D$5))</f>
        <v/>
      </c>
      <c r="J214" s="24" t="str">
        <f aca="false">IF(AND(F214="",G214="",H214=""),"",SUM(F$7:F214)-SUM(I$7:I214))</f>
        <v/>
      </c>
    </row>
    <row r="215" customFormat="false" ht="15" hidden="false" customHeight="false" outlineLevel="0" collapsed="false">
      <c r="A215" s="18"/>
      <c r="B215" s="19"/>
      <c r="C215" s="19"/>
      <c r="D215" s="19"/>
      <c r="E215" s="20"/>
      <c r="F215" s="21"/>
      <c r="G215" s="21"/>
      <c r="H215" s="22"/>
      <c r="I215" s="23" t="str">
        <f aca="false">IF(AND(G215="",H215=""),"",IF(G215&lt;&gt;"",G215,H215/Listes!$D$5))</f>
        <v/>
      </c>
      <c r="J215" s="24" t="str">
        <f aca="false">IF(AND(F215="",G215="",H215=""),"",SUM(F$7:F215)-SUM(I$7:I215))</f>
        <v/>
      </c>
    </row>
    <row r="216" customFormat="false" ht="15" hidden="false" customHeight="false" outlineLevel="0" collapsed="false">
      <c r="A216" s="18"/>
      <c r="B216" s="19"/>
      <c r="C216" s="19"/>
      <c r="D216" s="19"/>
      <c r="E216" s="20"/>
      <c r="F216" s="21"/>
      <c r="G216" s="21"/>
      <c r="H216" s="22"/>
      <c r="I216" s="23" t="str">
        <f aca="false">IF(AND(G216="",H216=""),"",IF(G216&lt;&gt;"",G216,H216/Listes!$D$5))</f>
        <v/>
      </c>
      <c r="J216" s="24" t="str">
        <f aca="false">IF(AND(F216="",G216="",H216=""),"",SUM(F$7:F216)-SUM(I$7:I216))</f>
        <v/>
      </c>
    </row>
    <row r="217" customFormat="false" ht="15" hidden="false" customHeight="false" outlineLevel="0" collapsed="false">
      <c r="A217" s="18"/>
      <c r="B217" s="19"/>
      <c r="C217" s="19"/>
      <c r="D217" s="19"/>
      <c r="E217" s="20"/>
      <c r="F217" s="21"/>
      <c r="G217" s="21"/>
      <c r="H217" s="22"/>
      <c r="I217" s="23" t="str">
        <f aca="false">IF(AND(G217="",H217=""),"",IF(G217&lt;&gt;"",G217,H217/Listes!$D$5))</f>
        <v/>
      </c>
      <c r="J217" s="24" t="str">
        <f aca="false">IF(AND(F217="",G217="",H217=""),"",SUM(F$7:F217)-SUM(I$7:I217))</f>
        <v/>
      </c>
    </row>
    <row r="218" customFormat="false" ht="15" hidden="false" customHeight="false" outlineLevel="0" collapsed="false">
      <c r="A218" s="18"/>
      <c r="B218" s="19"/>
      <c r="C218" s="19"/>
      <c r="D218" s="19"/>
      <c r="E218" s="20"/>
      <c r="F218" s="21"/>
      <c r="G218" s="21"/>
      <c r="H218" s="22"/>
      <c r="I218" s="23" t="str">
        <f aca="false">IF(AND(G218="",H218=""),"",IF(G218&lt;&gt;"",G218,H218/Listes!$D$5))</f>
        <v/>
      </c>
      <c r="J218" s="24" t="str">
        <f aca="false">IF(AND(F218="",G218="",H218=""),"",SUM(F$7:F218)-SUM(I$7:I218))</f>
        <v/>
      </c>
    </row>
    <row r="219" customFormat="false" ht="15" hidden="false" customHeight="false" outlineLevel="0" collapsed="false">
      <c r="A219" s="18"/>
      <c r="B219" s="19"/>
      <c r="C219" s="19"/>
      <c r="D219" s="19"/>
      <c r="E219" s="20"/>
      <c r="F219" s="21"/>
      <c r="G219" s="21"/>
      <c r="H219" s="22"/>
      <c r="I219" s="23" t="str">
        <f aca="false">IF(AND(G219="",H219=""),"",IF(G219&lt;&gt;"",G219,H219/Listes!$D$5))</f>
        <v/>
      </c>
      <c r="J219" s="24" t="str">
        <f aca="false">IF(AND(F219="",G219="",H219=""),"",SUM(F$7:F219)-SUM(I$7:I219))</f>
        <v/>
      </c>
    </row>
    <row r="220" customFormat="false" ht="15" hidden="false" customHeight="false" outlineLevel="0" collapsed="false">
      <c r="A220" s="18"/>
      <c r="B220" s="19"/>
      <c r="C220" s="19"/>
      <c r="D220" s="19"/>
      <c r="E220" s="20"/>
      <c r="F220" s="21"/>
      <c r="G220" s="21"/>
      <c r="H220" s="22"/>
      <c r="I220" s="23" t="str">
        <f aca="false">IF(AND(G220="",H220=""),"",IF(G220&lt;&gt;"",G220,H220/Listes!$D$5))</f>
        <v/>
      </c>
      <c r="J220" s="24" t="str">
        <f aca="false">IF(AND(F220="",G220="",H220=""),"",SUM(F$7:F220)-SUM(I$7:I220))</f>
        <v/>
      </c>
    </row>
    <row r="221" customFormat="false" ht="15" hidden="false" customHeight="false" outlineLevel="0" collapsed="false">
      <c r="A221" s="18"/>
      <c r="B221" s="19"/>
      <c r="C221" s="19"/>
      <c r="D221" s="19"/>
      <c r="E221" s="20"/>
      <c r="F221" s="21"/>
      <c r="G221" s="21"/>
      <c r="H221" s="22"/>
      <c r="I221" s="23" t="str">
        <f aca="false">IF(AND(G221="",H221=""),"",IF(G221&lt;&gt;"",G221,H221/Listes!$D$5))</f>
        <v/>
      </c>
      <c r="J221" s="24" t="str">
        <f aca="false">IF(AND(F221="",G221="",H221=""),"",SUM(F$7:F221)-SUM(I$7:I221))</f>
        <v/>
      </c>
    </row>
    <row r="222" customFormat="false" ht="15" hidden="false" customHeight="false" outlineLevel="0" collapsed="false">
      <c r="A222" s="18"/>
      <c r="B222" s="19"/>
      <c r="C222" s="19"/>
      <c r="D222" s="19"/>
      <c r="E222" s="20"/>
      <c r="F222" s="21"/>
      <c r="G222" s="21"/>
      <c r="H222" s="22"/>
      <c r="I222" s="23" t="str">
        <f aca="false">IF(AND(G222="",H222=""),"",IF(G222&lt;&gt;"",G222,H222/Listes!$D$5))</f>
        <v/>
      </c>
      <c r="J222" s="24" t="str">
        <f aca="false">IF(AND(F222="",G222="",H222=""),"",SUM(F$7:F222)-SUM(I$7:I222))</f>
        <v/>
      </c>
    </row>
    <row r="223" customFormat="false" ht="15" hidden="false" customHeight="false" outlineLevel="0" collapsed="false">
      <c r="A223" s="18"/>
      <c r="B223" s="19"/>
      <c r="C223" s="19"/>
      <c r="D223" s="19"/>
      <c r="E223" s="20"/>
      <c r="F223" s="21"/>
      <c r="G223" s="21"/>
      <c r="H223" s="22"/>
      <c r="I223" s="23" t="str">
        <f aca="false">IF(AND(G223="",H223=""),"",IF(G223&lt;&gt;"",G223,H223/Listes!$D$5))</f>
        <v/>
      </c>
      <c r="J223" s="24" t="str">
        <f aca="false">IF(AND(F223="",G223="",H223=""),"",SUM(F$7:F223)-SUM(I$7:I223))</f>
        <v/>
      </c>
    </row>
    <row r="224" customFormat="false" ht="15" hidden="false" customHeight="false" outlineLevel="0" collapsed="false">
      <c r="A224" s="18"/>
      <c r="B224" s="19"/>
      <c r="C224" s="19"/>
      <c r="D224" s="19"/>
      <c r="E224" s="20"/>
      <c r="F224" s="21"/>
      <c r="G224" s="21"/>
      <c r="H224" s="22"/>
      <c r="I224" s="23" t="str">
        <f aca="false">IF(AND(G224="",H224=""),"",IF(G224&lt;&gt;"",G224,H224/Listes!$D$5))</f>
        <v/>
      </c>
      <c r="J224" s="24" t="str">
        <f aca="false">IF(AND(F224="",G224="",H224=""),"",SUM(F$7:F224)-SUM(I$7:I224))</f>
        <v/>
      </c>
    </row>
    <row r="225" customFormat="false" ht="15" hidden="false" customHeight="false" outlineLevel="0" collapsed="false">
      <c r="A225" s="18"/>
      <c r="B225" s="19"/>
      <c r="C225" s="19"/>
      <c r="D225" s="19"/>
      <c r="E225" s="20"/>
      <c r="F225" s="21"/>
      <c r="G225" s="21"/>
      <c r="H225" s="22"/>
      <c r="I225" s="23" t="str">
        <f aca="false">IF(AND(G225="",H225=""),"",IF(G225&lt;&gt;"",G225,H225/Listes!$D$5))</f>
        <v/>
      </c>
      <c r="J225" s="24" t="str">
        <f aca="false">IF(AND(F225="",G225="",H225=""),"",SUM(F$7:F225)-SUM(I$7:I225))</f>
        <v/>
      </c>
    </row>
    <row r="226" customFormat="false" ht="15" hidden="false" customHeight="false" outlineLevel="0" collapsed="false">
      <c r="A226" s="18"/>
      <c r="B226" s="19"/>
      <c r="C226" s="19"/>
      <c r="D226" s="19"/>
      <c r="E226" s="20"/>
      <c r="F226" s="21"/>
      <c r="G226" s="21"/>
      <c r="H226" s="22"/>
      <c r="I226" s="23" t="str">
        <f aca="false">IF(AND(G226="",H226=""),"",IF(G226&lt;&gt;"",G226,H226/Listes!$D$5))</f>
        <v/>
      </c>
      <c r="J226" s="24" t="str">
        <f aca="false">IF(AND(F226="",G226="",H226=""),"",SUM(F$7:F226)-SUM(I$7:I226))</f>
        <v/>
      </c>
    </row>
    <row r="227" customFormat="false" ht="15" hidden="false" customHeight="false" outlineLevel="0" collapsed="false">
      <c r="A227" s="18"/>
      <c r="B227" s="19"/>
      <c r="C227" s="19"/>
      <c r="D227" s="19"/>
      <c r="E227" s="20"/>
      <c r="F227" s="21"/>
      <c r="G227" s="21"/>
      <c r="H227" s="22"/>
      <c r="I227" s="23" t="str">
        <f aca="false">IF(AND(G227="",H227=""),"",IF(G227&lt;&gt;"",G227,H227/Listes!$D$5))</f>
        <v/>
      </c>
      <c r="J227" s="24" t="str">
        <f aca="false">IF(AND(F227="",G227="",H227=""),"",SUM(F$7:F227)-SUM(I$7:I227))</f>
        <v/>
      </c>
    </row>
    <row r="228" customFormat="false" ht="15" hidden="false" customHeight="false" outlineLevel="0" collapsed="false">
      <c r="A228" s="18"/>
      <c r="B228" s="19"/>
      <c r="C228" s="19"/>
      <c r="D228" s="19"/>
      <c r="E228" s="20"/>
      <c r="F228" s="21"/>
      <c r="G228" s="21"/>
      <c r="H228" s="22"/>
      <c r="I228" s="23" t="str">
        <f aca="false">IF(AND(G228="",H228=""),"",IF(G228&lt;&gt;"",G228,H228/Listes!$D$5))</f>
        <v/>
      </c>
      <c r="J228" s="24" t="str">
        <f aca="false">IF(AND(F228="",G228="",H228=""),"",SUM(F$7:F228)-SUM(I$7:I228))</f>
        <v/>
      </c>
    </row>
    <row r="229" customFormat="false" ht="15" hidden="false" customHeight="false" outlineLevel="0" collapsed="false">
      <c r="A229" s="18"/>
      <c r="B229" s="19"/>
      <c r="C229" s="19"/>
      <c r="D229" s="19"/>
      <c r="E229" s="20"/>
      <c r="F229" s="21"/>
      <c r="G229" s="21"/>
      <c r="H229" s="22"/>
      <c r="I229" s="23" t="str">
        <f aca="false">IF(AND(G229="",H229=""),"",IF(G229&lt;&gt;"",G229,H229/Listes!$D$5))</f>
        <v/>
      </c>
      <c r="J229" s="24" t="str">
        <f aca="false">IF(AND(F229="",G229="",H229=""),"",SUM(F$7:F229)-SUM(I$7:I229))</f>
        <v/>
      </c>
    </row>
    <row r="230" customFormat="false" ht="15" hidden="false" customHeight="false" outlineLevel="0" collapsed="false">
      <c r="A230" s="18"/>
      <c r="B230" s="19"/>
      <c r="C230" s="19"/>
      <c r="D230" s="19"/>
      <c r="E230" s="20"/>
      <c r="F230" s="21"/>
      <c r="G230" s="21"/>
      <c r="H230" s="22"/>
      <c r="I230" s="23" t="str">
        <f aca="false">IF(AND(G230="",H230=""),"",IF(G230&lt;&gt;"",G230,H230/Listes!$D$5))</f>
        <v/>
      </c>
      <c r="J230" s="24" t="str">
        <f aca="false">IF(AND(F230="",G230="",H230=""),"",SUM(F$7:F230)-SUM(I$7:I230))</f>
        <v/>
      </c>
    </row>
    <row r="231" customFormat="false" ht="15" hidden="false" customHeight="false" outlineLevel="0" collapsed="false">
      <c r="A231" s="18"/>
      <c r="B231" s="19"/>
      <c r="C231" s="19"/>
      <c r="D231" s="19"/>
      <c r="E231" s="20"/>
      <c r="F231" s="21"/>
      <c r="G231" s="21"/>
      <c r="H231" s="22"/>
      <c r="I231" s="23" t="str">
        <f aca="false">IF(AND(G231="",H231=""),"",IF(G231&lt;&gt;"",G231,H231/Listes!$D$5))</f>
        <v/>
      </c>
      <c r="J231" s="24" t="str">
        <f aca="false">IF(AND(F231="",G231="",H231=""),"",SUM(F$7:F231)-SUM(I$7:I231))</f>
        <v/>
      </c>
    </row>
    <row r="232" customFormat="false" ht="15" hidden="false" customHeight="false" outlineLevel="0" collapsed="false">
      <c r="A232" s="18"/>
      <c r="B232" s="19"/>
      <c r="C232" s="19"/>
      <c r="D232" s="19"/>
      <c r="E232" s="20"/>
      <c r="F232" s="21"/>
      <c r="G232" s="21"/>
      <c r="H232" s="22"/>
      <c r="I232" s="23" t="str">
        <f aca="false">IF(AND(G232="",H232=""),"",IF(G232&lt;&gt;"",G232,H232/Listes!$D$5))</f>
        <v/>
      </c>
      <c r="J232" s="24" t="str">
        <f aca="false">IF(AND(F232="",G232="",H232=""),"",SUM(F$7:F232)-SUM(I$7:I232))</f>
        <v/>
      </c>
    </row>
    <row r="233" customFormat="false" ht="15" hidden="false" customHeight="false" outlineLevel="0" collapsed="false">
      <c r="A233" s="18"/>
      <c r="B233" s="19"/>
      <c r="C233" s="19"/>
      <c r="D233" s="19"/>
      <c r="E233" s="20"/>
      <c r="F233" s="21"/>
      <c r="G233" s="21"/>
      <c r="H233" s="22"/>
      <c r="I233" s="23" t="str">
        <f aca="false">IF(AND(G233="",H233=""),"",IF(G233&lt;&gt;"",G233,H233/Listes!$D$5))</f>
        <v/>
      </c>
      <c r="J233" s="24" t="str">
        <f aca="false">IF(AND(F233="",G233="",H233=""),"",SUM(F$7:F233)-SUM(I$7:I233))</f>
        <v/>
      </c>
    </row>
    <row r="234" customFormat="false" ht="15" hidden="false" customHeight="false" outlineLevel="0" collapsed="false">
      <c r="A234" s="18"/>
      <c r="B234" s="19"/>
      <c r="C234" s="19"/>
      <c r="D234" s="19"/>
      <c r="E234" s="20"/>
      <c r="F234" s="21"/>
      <c r="G234" s="21"/>
      <c r="H234" s="22"/>
      <c r="I234" s="23" t="str">
        <f aca="false">IF(AND(G234="",H234=""),"",IF(G234&lt;&gt;"",G234,H234/Listes!$D$5))</f>
        <v/>
      </c>
      <c r="J234" s="24" t="str">
        <f aca="false">IF(AND(F234="",G234="",H234=""),"",SUM(F$7:F234)-SUM(I$7:I234))</f>
        <v/>
      </c>
    </row>
    <row r="235" customFormat="false" ht="15" hidden="false" customHeight="false" outlineLevel="0" collapsed="false">
      <c r="A235" s="18"/>
      <c r="B235" s="19"/>
      <c r="C235" s="19"/>
      <c r="D235" s="19"/>
      <c r="E235" s="20"/>
      <c r="F235" s="21"/>
      <c r="G235" s="21"/>
      <c r="H235" s="22"/>
      <c r="I235" s="23" t="str">
        <f aca="false">IF(AND(G235="",H235=""),"",IF(G235&lt;&gt;"",G235,H235/Listes!$D$5))</f>
        <v/>
      </c>
      <c r="J235" s="24" t="str">
        <f aca="false">IF(AND(F235="",G235="",H235=""),"",SUM(F$7:F235)-SUM(I$7:I235))</f>
        <v/>
      </c>
    </row>
    <row r="236" customFormat="false" ht="15" hidden="false" customHeight="false" outlineLevel="0" collapsed="false">
      <c r="A236" s="18"/>
      <c r="B236" s="19"/>
      <c r="C236" s="19"/>
      <c r="D236" s="19"/>
      <c r="E236" s="20"/>
      <c r="F236" s="21"/>
      <c r="G236" s="21"/>
      <c r="H236" s="22"/>
      <c r="I236" s="23" t="str">
        <f aca="false">IF(AND(G236="",H236=""),"",IF(G236&lt;&gt;"",G236,H236/Listes!$D$5))</f>
        <v/>
      </c>
      <c r="J236" s="24" t="str">
        <f aca="false">IF(AND(F236="",G236="",H236=""),"",SUM(F$7:F236)-SUM(I$7:I236))</f>
        <v/>
      </c>
    </row>
    <row r="237" customFormat="false" ht="15" hidden="false" customHeight="false" outlineLevel="0" collapsed="false">
      <c r="A237" s="18"/>
      <c r="B237" s="19"/>
      <c r="C237" s="19"/>
      <c r="D237" s="19"/>
      <c r="E237" s="20"/>
      <c r="F237" s="21"/>
      <c r="G237" s="21"/>
      <c r="H237" s="22"/>
      <c r="I237" s="23" t="str">
        <f aca="false">IF(AND(G237="",H237=""),"",IF(G237&lt;&gt;"",G237,H237/Listes!$D$5))</f>
        <v/>
      </c>
      <c r="J237" s="24" t="str">
        <f aca="false">IF(AND(F237="",G237="",H237=""),"",SUM(F$7:F237)-SUM(I$7:I237))</f>
        <v/>
      </c>
    </row>
    <row r="238" customFormat="false" ht="15" hidden="false" customHeight="false" outlineLevel="0" collapsed="false">
      <c r="A238" s="18"/>
      <c r="B238" s="19"/>
      <c r="C238" s="19"/>
      <c r="D238" s="19"/>
      <c r="E238" s="20"/>
      <c r="F238" s="21"/>
      <c r="G238" s="21"/>
      <c r="H238" s="22"/>
      <c r="I238" s="23" t="str">
        <f aca="false">IF(AND(G238="",H238=""),"",IF(G238&lt;&gt;"",G238,H238/Listes!$D$5))</f>
        <v/>
      </c>
      <c r="J238" s="24" t="str">
        <f aca="false">IF(AND(F238="",G238="",H238=""),"",SUM(F$7:F238)-SUM(I$7:I238))</f>
        <v/>
      </c>
    </row>
    <row r="239" customFormat="false" ht="15" hidden="false" customHeight="false" outlineLevel="0" collapsed="false">
      <c r="A239" s="18"/>
      <c r="B239" s="19"/>
      <c r="C239" s="19"/>
      <c r="D239" s="19"/>
      <c r="E239" s="20"/>
      <c r="F239" s="21"/>
      <c r="G239" s="21"/>
      <c r="H239" s="22"/>
      <c r="I239" s="23" t="str">
        <f aca="false">IF(AND(G239="",H239=""),"",IF(G239&lt;&gt;"",G239,H239/Listes!$D$5))</f>
        <v/>
      </c>
      <c r="J239" s="24" t="str">
        <f aca="false">IF(AND(F239="",G239="",H239=""),"",SUM(F$7:F239)-SUM(I$7:I239))</f>
        <v/>
      </c>
    </row>
    <row r="240" customFormat="false" ht="15" hidden="false" customHeight="false" outlineLevel="0" collapsed="false">
      <c r="A240" s="18"/>
      <c r="B240" s="19"/>
      <c r="C240" s="19"/>
      <c r="D240" s="19"/>
      <c r="E240" s="20"/>
      <c r="F240" s="21"/>
      <c r="G240" s="21"/>
      <c r="H240" s="22"/>
      <c r="I240" s="23" t="str">
        <f aca="false">IF(AND(G240="",H240=""),"",IF(G240&lt;&gt;"",G240,H240/Listes!$D$5))</f>
        <v/>
      </c>
      <c r="J240" s="24" t="str">
        <f aca="false">IF(AND(F240="",G240="",H240=""),"",SUM(F$7:F240)-SUM(I$7:I240))</f>
        <v/>
      </c>
    </row>
    <row r="241" customFormat="false" ht="15" hidden="false" customHeight="false" outlineLevel="0" collapsed="false">
      <c r="A241" s="18"/>
      <c r="B241" s="19"/>
      <c r="C241" s="19"/>
      <c r="D241" s="19"/>
      <c r="E241" s="20"/>
      <c r="F241" s="21"/>
      <c r="G241" s="21"/>
      <c r="H241" s="22"/>
      <c r="I241" s="23" t="str">
        <f aca="false">IF(AND(G241="",H241=""),"",IF(G241&lt;&gt;"",G241,H241/Listes!$D$5))</f>
        <v/>
      </c>
      <c r="J241" s="24" t="str">
        <f aca="false">IF(AND(F241="",G241="",H241=""),"",SUM(F$7:F241)-SUM(I$7:I241))</f>
        <v/>
      </c>
    </row>
    <row r="242" customFormat="false" ht="15" hidden="false" customHeight="false" outlineLevel="0" collapsed="false">
      <c r="A242" s="18"/>
      <c r="B242" s="19"/>
      <c r="C242" s="19"/>
      <c r="D242" s="19"/>
      <c r="E242" s="20"/>
      <c r="F242" s="21"/>
      <c r="G242" s="21"/>
      <c r="H242" s="22"/>
      <c r="I242" s="23" t="str">
        <f aca="false">IF(AND(G242="",H242=""),"",IF(G242&lt;&gt;"",G242,H242/Listes!$D$5))</f>
        <v/>
      </c>
      <c r="J242" s="24" t="str">
        <f aca="false">IF(AND(F242="",G242="",H242=""),"",SUM(F$7:F242)-SUM(I$7:I242))</f>
        <v/>
      </c>
    </row>
    <row r="243" customFormat="false" ht="15" hidden="false" customHeight="false" outlineLevel="0" collapsed="false">
      <c r="A243" s="18"/>
      <c r="B243" s="19"/>
      <c r="C243" s="19"/>
      <c r="D243" s="19"/>
      <c r="E243" s="20"/>
      <c r="F243" s="21"/>
      <c r="G243" s="21"/>
      <c r="H243" s="22"/>
      <c r="I243" s="23" t="str">
        <f aca="false">IF(AND(G243="",H243=""),"",IF(G243&lt;&gt;"",G243,H243/Listes!$D$5))</f>
        <v/>
      </c>
      <c r="J243" s="24" t="str">
        <f aca="false">IF(AND(F243="",G243="",H243=""),"",SUM(F$7:F243)-SUM(I$7:I243))</f>
        <v/>
      </c>
    </row>
    <row r="244" customFormat="false" ht="15" hidden="false" customHeight="false" outlineLevel="0" collapsed="false">
      <c r="A244" s="18"/>
      <c r="B244" s="19"/>
      <c r="C244" s="19"/>
      <c r="D244" s="19"/>
      <c r="E244" s="20"/>
      <c r="F244" s="21"/>
      <c r="G244" s="21"/>
      <c r="H244" s="22"/>
      <c r="I244" s="23" t="str">
        <f aca="false">IF(AND(G244="",H244=""),"",IF(G244&lt;&gt;"",G244,H244/Listes!$D$5))</f>
        <v/>
      </c>
      <c r="J244" s="24" t="str">
        <f aca="false">IF(AND(F244="",G244="",H244=""),"",SUM(F$7:F244)-SUM(I$7:I244))</f>
        <v/>
      </c>
    </row>
    <row r="245" customFormat="false" ht="15" hidden="false" customHeight="false" outlineLevel="0" collapsed="false">
      <c r="A245" s="18"/>
      <c r="B245" s="19"/>
      <c r="C245" s="19"/>
      <c r="D245" s="19"/>
      <c r="E245" s="20"/>
      <c r="F245" s="21"/>
      <c r="G245" s="21"/>
      <c r="H245" s="22"/>
      <c r="I245" s="23" t="str">
        <f aca="false">IF(AND(G245="",H245=""),"",IF(G245&lt;&gt;"",G245,H245/Listes!$D$5))</f>
        <v/>
      </c>
      <c r="J245" s="24" t="str">
        <f aca="false">IF(AND(F245="",G245="",H245=""),"",SUM(F$7:F245)-SUM(I$7:I245))</f>
        <v/>
      </c>
    </row>
    <row r="246" customFormat="false" ht="15" hidden="false" customHeight="false" outlineLevel="0" collapsed="false">
      <c r="A246" s="18"/>
      <c r="B246" s="19"/>
      <c r="C246" s="19"/>
      <c r="D246" s="19"/>
      <c r="E246" s="20"/>
      <c r="F246" s="21"/>
      <c r="G246" s="21"/>
      <c r="H246" s="22"/>
      <c r="I246" s="23" t="str">
        <f aca="false">IF(AND(G246="",H246=""),"",IF(G246&lt;&gt;"",G246,H246/Listes!$D$5))</f>
        <v/>
      </c>
      <c r="J246" s="24" t="str">
        <f aca="false">IF(AND(F246="",G246="",H246=""),"",SUM(F$7:F246)-SUM(I$7:I246))</f>
        <v/>
      </c>
    </row>
    <row r="247" customFormat="false" ht="15" hidden="false" customHeight="false" outlineLevel="0" collapsed="false">
      <c r="A247" s="18"/>
      <c r="B247" s="19"/>
      <c r="C247" s="19"/>
      <c r="D247" s="19"/>
      <c r="E247" s="20"/>
      <c r="F247" s="21"/>
      <c r="G247" s="21"/>
      <c r="H247" s="22"/>
      <c r="I247" s="23" t="str">
        <f aca="false">IF(AND(G247="",H247=""),"",IF(G247&lt;&gt;"",G247,H247/Listes!$D$5))</f>
        <v/>
      </c>
      <c r="J247" s="24" t="str">
        <f aca="false">IF(AND(F247="",G247="",H247=""),"",SUM(F$7:F247)-SUM(I$7:I247))</f>
        <v/>
      </c>
    </row>
    <row r="248" customFormat="false" ht="15" hidden="false" customHeight="false" outlineLevel="0" collapsed="false">
      <c r="A248" s="18"/>
      <c r="B248" s="19"/>
      <c r="C248" s="19"/>
      <c r="D248" s="19"/>
      <c r="E248" s="20"/>
      <c r="F248" s="21"/>
      <c r="G248" s="21"/>
      <c r="H248" s="22"/>
      <c r="I248" s="23" t="str">
        <f aca="false">IF(AND(G248="",H248=""),"",IF(G248&lt;&gt;"",G248,H248/Listes!$D$5))</f>
        <v/>
      </c>
      <c r="J248" s="24" t="str">
        <f aca="false">IF(AND(F248="",G248="",H248=""),"",SUM(F$7:F248)-SUM(I$7:I248))</f>
        <v/>
      </c>
    </row>
    <row r="249" customFormat="false" ht="15" hidden="false" customHeight="false" outlineLevel="0" collapsed="false">
      <c r="A249" s="18"/>
      <c r="B249" s="19"/>
      <c r="C249" s="19"/>
      <c r="D249" s="19"/>
      <c r="E249" s="20"/>
      <c r="F249" s="21"/>
      <c r="G249" s="21"/>
      <c r="H249" s="22"/>
      <c r="I249" s="23" t="str">
        <f aca="false">IF(AND(G249="",H249=""),"",IF(G249&lt;&gt;"",G249,H249/Listes!$D$5))</f>
        <v/>
      </c>
      <c r="J249" s="24" t="str">
        <f aca="false">IF(AND(F249="",G249="",H249=""),"",SUM(F$7:F249)-SUM(I$7:I249))</f>
        <v/>
      </c>
    </row>
    <row r="250" customFormat="false" ht="15" hidden="false" customHeight="false" outlineLevel="0" collapsed="false">
      <c r="A250" s="18"/>
      <c r="B250" s="19"/>
      <c r="C250" s="19"/>
      <c r="D250" s="19"/>
      <c r="E250" s="20"/>
      <c r="F250" s="21"/>
      <c r="G250" s="21"/>
      <c r="H250" s="22"/>
      <c r="I250" s="23" t="str">
        <f aca="false">IF(AND(G250="",H250=""),"",IF(G250&lt;&gt;"",G250,H250/Listes!$D$5))</f>
        <v/>
      </c>
      <c r="J250" s="24" t="str">
        <f aca="false">IF(AND(F250="",G250="",H250=""),"",SUM(F$7:F250)-SUM(I$7:I250))</f>
        <v/>
      </c>
    </row>
    <row r="251" customFormat="false" ht="15" hidden="false" customHeight="false" outlineLevel="0" collapsed="false">
      <c r="A251" s="18"/>
      <c r="B251" s="19"/>
      <c r="C251" s="19"/>
      <c r="D251" s="19"/>
      <c r="E251" s="20"/>
      <c r="F251" s="21"/>
      <c r="G251" s="21"/>
      <c r="H251" s="22"/>
      <c r="I251" s="23" t="str">
        <f aca="false">IF(AND(G251="",H251=""),"",IF(G251&lt;&gt;"",G251,H251/Listes!$D$5))</f>
        <v/>
      </c>
      <c r="J251" s="24" t="str">
        <f aca="false">IF(AND(F251="",G251="",H251=""),"",SUM(F$7:F251)-SUM(I$7:I251))</f>
        <v/>
      </c>
    </row>
    <row r="252" customFormat="false" ht="15" hidden="false" customHeight="false" outlineLevel="0" collapsed="false">
      <c r="A252" s="18"/>
      <c r="B252" s="19"/>
      <c r="C252" s="19"/>
      <c r="D252" s="19"/>
      <c r="E252" s="20"/>
      <c r="F252" s="21"/>
      <c r="G252" s="21"/>
      <c r="H252" s="22"/>
      <c r="I252" s="23" t="str">
        <f aca="false">IF(AND(G252="",H252=""),"",IF(G252&lt;&gt;"",G252,H252/Listes!$D$5))</f>
        <v/>
      </c>
      <c r="J252" s="24" t="str">
        <f aca="false">IF(AND(F252="",G252="",H252=""),"",SUM(F$7:F252)-SUM(I$7:I252))</f>
        <v/>
      </c>
    </row>
    <row r="253" customFormat="false" ht="15" hidden="false" customHeight="false" outlineLevel="0" collapsed="false">
      <c r="A253" s="18"/>
      <c r="B253" s="19"/>
      <c r="C253" s="19"/>
      <c r="D253" s="19"/>
      <c r="E253" s="20"/>
      <c r="F253" s="21"/>
      <c r="G253" s="21"/>
      <c r="H253" s="22"/>
      <c r="I253" s="23" t="str">
        <f aca="false">IF(AND(G253="",H253=""),"",IF(G253&lt;&gt;"",G253,H253/Listes!$D$5))</f>
        <v/>
      </c>
      <c r="J253" s="24" t="str">
        <f aca="false">IF(AND(F253="",G253="",H253=""),"",SUM(F$7:F253)-SUM(I$7:I253))</f>
        <v/>
      </c>
    </row>
    <row r="254" customFormat="false" ht="15" hidden="false" customHeight="false" outlineLevel="0" collapsed="false">
      <c r="A254" s="18"/>
      <c r="B254" s="19"/>
      <c r="C254" s="19"/>
      <c r="D254" s="19"/>
      <c r="E254" s="20"/>
      <c r="F254" s="21"/>
      <c r="G254" s="21"/>
      <c r="H254" s="22"/>
      <c r="I254" s="23" t="str">
        <f aca="false">IF(AND(G254="",H254=""),"",IF(G254&lt;&gt;"",G254,H254/Listes!$D$5))</f>
        <v/>
      </c>
      <c r="J254" s="24" t="str">
        <f aca="false">IF(AND(F254="",G254="",H254=""),"",SUM(F$7:F254)-SUM(I$7:I254))</f>
        <v/>
      </c>
    </row>
    <row r="255" customFormat="false" ht="15" hidden="false" customHeight="false" outlineLevel="0" collapsed="false">
      <c r="A255" s="18"/>
      <c r="B255" s="19"/>
      <c r="C255" s="19"/>
      <c r="D255" s="19"/>
      <c r="E255" s="20"/>
      <c r="F255" s="21"/>
      <c r="G255" s="21"/>
      <c r="H255" s="22"/>
      <c r="I255" s="23" t="str">
        <f aca="false">IF(AND(G255="",H255=""),"",IF(G255&lt;&gt;"",G255,H255/Listes!$D$5))</f>
        <v/>
      </c>
      <c r="J255" s="24" t="str">
        <f aca="false">IF(AND(F255="",G255="",H255=""),"",SUM(F$7:F255)-SUM(I$7:I255))</f>
        <v/>
      </c>
    </row>
    <row r="256" customFormat="false" ht="15" hidden="false" customHeight="false" outlineLevel="0" collapsed="false">
      <c r="A256" s="18"/>
      <c r="B256" s="19"/>
      <c r="C256" s="19"/>
      <c r="D256" s="19"/>
      <c r="E256" s="20"/>
      <c r="F256" s="21"/>
      <c r="G256" s="21"/>
      <c r="H256" s="22"/>
      <c r="I256" s="23" t="str">
        <f aca="false">IF(AND(G256="",H256=""),"",IF(G256&lt;&gt;"",G256,H256/Listes!$D$5))</f>
        <v/>
      </c>
      <c r="J256" s="24" t="str">
        <f aca="false">IF(AND(F256="",G256="",H256=""),"",SUM(F$7:F256)-SUM(I$7:I256))</f>
        <v/>
      </c>
    </row>
    <row r="257" customFormat="false" ht="15" hidden="false" customHeight="false" outlineLevel="0" collapsed="false">
      <c r="A257" s="18"/>
      <c r="B257" s="19"/>
      <c r="C257" s="19"/>
      <c r="D257" s="19"/>
      <c r="E257" s="20"/>
      <c r="F257" s="21"/>
      <c r="G257" s="21"/>
      <c r="H257" s="22"/>
      <c r="I257" s="23" t="str">
        <f aca="false">IF(AND(G257="",H257=""),"",IF(G257&lt;&gt;"",G257,H257/Listes!$D$5))</f>
        <v/>
      </c>
      <c r="J257" s="24" t="str">
        <f aca="false">IF(AND(F257="",G257="",H257=""),"",SUM(F$7:F257)-SUM(I$7:I257))</f>
        <v/>
      </c>
    </row>
    <row r="258" customFormat="false" ht="15" hidden="false" customHeight="false" outlineLevel="0" collapsed="false">
      <c r="A258" s="18"/>
      <c r="B258" s="19"/>
      <c r="C258" s="19"/>
      <c r="D258" s="19"/>
      <c r="E258" s="20"/>
      <c r="F258" s="21"/>
      <c r="G258" s="21"/>
      <c r="H258" s="22"/>
      <c r="I258" s="23" t="str">
        <f aca="false">IF(AND(G258="",H258=""),"",IF(G258&lt;&gt;"",G258,H258/Listes!$D$5))</f>
        <v/>
      </c>
      <c r="J258" s="24" t="str">
        <f aca="false">IF(AND(F258="",G258="",H258=""),"",SUM(F$7:F258)-SUM(I$7:I258))</f>
        <v/>
      </c>
    </row>
    <row r="259" customFormat="false" ht="15" hidden="false" customHeight="false" outlineLevel="0" collapsed="false">
      <c r="A259" s="18"/>
      <c r="B259" s="19"/>
      <c r="C259" s="19"/>
      <c r="D259" s="19"/>
      <c r="E259" s="20"/>
      <c r="F259" s="21"/>
      <c r="G259" s="21"/>
      <c r="H259" s="22"/>
      <c r="I259" s="23" t="str">
        <f aca="false">IF(AND(G259="",H259=""),"",IF(G259&lt;&gt;"",G259,H259/Listes!$D$5))</f>
        <v/>
      </c>
      <c r="J259" s="24" t="str">
        <f aca="false">IF(AND(F259="",G259="",H259=""),"",SUM(F$7:F259)-SUM(I$7:I259))</f>
        <v/>
      </c>
    </row>
    <row r="260" customFormat="false" ht="15" hidden="false" customHeight="false" outlineLevel="0" collapsed="false">
      <c r="A260" s="18"/>
      <c r="B260" s="19"/>
      <c r="C260" s="19"/>
      <c r="D260" s="19"/>
      <c r="E260" s="20"/>
      <c r="F260" s="21"/>
      <c r="G260" s="21"/>
      <c r="H260" s="22"/>
      <c r="I260" s="23" t="str">
        <f aca="false">IF(AND(G260="",H260=""),"",IF(G260&lt;&gt;"",G260,H260/Listes!$D$5))</f>
        <v/>
      </c>
      <c r="J260" s="24" t="str">
        <f aca="false">IF(AND(F260="",G260="",H260=""),"",SUM(F$7:F260)-SUM(I$7:I260))</f>
        <v/>
      </c>
    </row>
    <row r="261" customFormat="false" ht="15" hidden="false" customHeight="false" outlineLevel="0" collapsed="false">
      <c r="A261" s="18"/>
      <c r="B261" s="19"/>
      <c r="C261" s="19"/>
      <c r="D261" s="19"/>
      <c r="E261" s="20"/>
      <c r="F261" s="21"/>
      <c r="G261" s="21"/>
      <c r="H261" s="22"/>
      <c r="I261" s="23" t="str">
        <f aca="false">IF(AND(G261="",H261=""),"",IF(G261&lt;&gt;"",G261,H261/Listes!$D$5))</f>
        <v/>
      </c>
      <c r="J261" s="24" t="str">
        <f aca="false">IF(AND(F261="",G261="",H261=""),"",SUM(F$7:F261)-SUM(I$7:I261))</f>
        <v/>
      </c>
    </row>
    <row r="262" customFormat="false" ht="15" hidden="false" customHeight="false" outlineLevel="0" collapsed="false">
      <c r="A262" s="18"/>
      <c r="B262" s="19"/>
      <c r="C262" s="19"/>
      <c r="D262" s="19"/>
      <c r="E262" s="20"/>
      <c r="F262" s="21"/>
      <c r="G262" s="21"/>
      <c r="H262" s="22"/>
      <c r="I262" s="23" t="str">
        <f aca="false">IF(AND(G262="",H262=""),"",IF(G262&lt;&gt;"",G262,H262/Listes!$D$5))</f>
        <v/>
      </c>
      <c r="J262" s="24" t="str">
        <f aca="false">IF(AND(F262="",G262="",H262=""),"",SUM(F$7:F262)-SUM(I$7:I262))</f>
        <v/>
      </c>
    </row>
    <row r="263" customFormat="false" ht="15" hidden="false" customHeight="false" outlineLevel="0" collapsed="false">
      <c r="A263" s="18"/>
      <c r="B263" s="19"/>
      <c r="C263" s="19"/>
      <c r="D263" s="19"/>
      <c r="E263" s="20"/>
      <c r="F263" s="21"/>
      <c r="G263" s="21"/>
      <c r="H263" s="22"/>
      <c r="I263" s="23" t="str">
        <f aca="false">IF(AND(G263="",H263=""),"",IF(G263&lt;&gt;"",G263,H263/Listes!$D$5))</f>
        <v/>
      </c>
      <c r="J263" s="24" t="str">
        <f aca="false">IF(AND(F263="",G263="",H263=""),"",SUM(F$7:F263)-SUM(I$7:I263))</f>
        <v/>
      </c>
    </row>
    <row r="264" customFormat="false" ht="15" hidden="false" customHeight="false" outlineLevel="0" collapsed="false">
      <c r="A264" s="18"/>
      <c r="B264" s="19"/>
      <c r="C264" s="19"/>
      <c r="D264" s="19"/>
      <c r="E264" s="20"/>
      <c r="F264" s="21"/>
      <c r="G264" s="21"/>
      <c r="H264" s="22"/>
      <c r="I264" s="23" t="str">
        <f aca="false">IF(AND(G264="",H264=""),"",IF(G264&lt;&gt;"",G264,H264/Listes!$D$5))</f>
        <v/>
      </c>
      <c r="J264" s="24" t="str">
        <f aca="false">IF(AND(F264="",G264="",H264=""),"",SUM(F$7:F264)-SUM(I$7:I264))</f>
        <v/>
      </c>
    </row>
    <row r="265" customFormat="false" ht="15" hidden="false" customHeight="false" outlineLevel="0" collapsed="false">
      <c r="A265" s="18"/>
      <c r="B265" s="19"/>
      <c r="C265" s="19"/>
      <c r="D265" s="19"/>
      <c r="E265" s="20"/>
      <c r="F265" s="21"/>
      <c r="G265" s="21"/>
      <c r="H265" s="22"/>
      <c r="I265" s="23" t="str">
        <f aca="false">IF(AND(G265="",H265=""),"",IF(G265&lt;&gt;"",G265,H265/Listes!$D$5))</f>
        <v/>
      </c>
      <c r="J265" s="24" t="str">
        <f aca="false">IF(AND(F265="",G265="",H265=""),"",SUM(F$7:F265)-SUM(I$7:I265))</f>
        <v/>
      </c>
    </row>
    <row r="266" customFormat="false" ht="15" hidden="false" customHeight="false" outlineLevel="0" collapsed="false">
      <c r="A266" s="18"/>
      <c r="B266" s="19"/>
      <c r="C266" s="19"/>
      <c r="D266" s="19"/>
      <c r="E266" s="20"/>
      <c r="F266" s="21"/>
      <c r="G266" s="21"/>
      <c r="H266" s="22"/>
      <c r="I266" s="23" t="str">
        <f aca="false">IF(AND(G266="",H266=""),"",IF(G266&lt;&gt;"",G266,H266/Listes!$D$5))</f>
        <v/>
      </c>
      <c r="J266" s="24" t="str">
        <f aca="false">IF(AND(F266="",G266="",H266=""),"",SUM(F$7:F266)-SUM(I$7:I266))</f>
        <v/>
      </c>
    </row>
    <row r="267" customFormat="false" ht="15" hidden="false" customHeight="false" outlineLevel="0" collapsed="false">
      <c r="A267" s="18"/>
      <c r="B267" s="19"/>
      <c r="C267" s="19"/>
      <c r="D267" s="19"/>
      <c r="E267" s="20"/>
      <c r="F267" s="21"/>
      <c r="G267" s="21"/>
      <c r="H267" s="22"/>
      <c r="I267" s="23" t="str">
        <f aca="false">IF(AND(G267="",H267=""),"",IF(G267&lt;&gt;"",G267,H267/Listes!$D$5))</f>
        <v/>
      </c>
      <c r="J267" s="24" t="str">
        <f aca="false">IF(AND(F267="",G267="",H267=""),"",SUM(F$7:F267)-SUM(I$7:I267))</f>
        <v/>
      </c>
    </row>
    <row r="268" customFormat="false" ht="15" hidden="false" customHeight="false" outlineLevel="0" collapsed="false">
      <c r="A268" s="18"/>
      <c r="B268" s="19"/>
      <c r="C268" s="19"/>
      <c r="D268" s="19"/>
      <c r="E268" s="20"/>
      <c r="F268" s="21"/>
      <c r="G268" s="21"/>
      <c r="H268" s="22"/>
      <c r="I268" s="23" t="str">
        <f aca="false">IF(AND(G268="",H268=""),"",IF(G268&lt;&gt;"",G268,H268/Listes!$D$5))</f>
        <v/>
      </c>
      <c r="J268" s="24" t="str">
        <f aca="false">IF(AND(F268="",G268="",H268=""),"",SUM(F$7:F268)-SUM(I$7:I268))</f>
        <v/>
      </c>
    </row>
    <row r="269" customFormat="false" ht="15" hidden="false" customHeight="false" outlineLevel="0" collapsed="false">
      <c r="A269" s="18"/>
      <c r="B269" s="19"/>
      <c r="C269" s="19"/>
      <c r="D269" s="19"/>
      <c r="E269" s="20"/>
      <c r="F269" s="21"/>
      <c r="G269" s="21"/>
      <c r="H269" s="22"/>
      <c r="I269" s="23" t="str">
        <f aca="false">IF(AND(G269="",H269=""),"",IF(G269&lt;&gt;"",G269,H269/Listes!$D$5))</f>
        <v/>
      </c>
      <c r="J269" s="24" t="str">
        <f aca="false">IF(AND(F269="",G269="",H269=""),"",SUM(F$7:F269)-SUM(I$7:I269))</f>
        <v/>
      </c>
    </row>
    <row r="270" customFormat="false" ht="15" hidden="false" customHeight="false" outlineLevel="0" collapsed="false">
      <c r="A270" s="18"/>
      <c r="B270" s="19"/>
      <c r="C270" s="19"/>
      <c r="D270" s="19"/>
      <c r="E270" s="20"/>
      <c r="F270" s="21"/>
      <c r="G270" s="21"/>
      <c r="H270" s="22"/>
      <c r="I270" s="23" t="str">
        <f aca="false">IF(AND(G270="",H270=""),"",IF(G270&lt;&gt;"",G270,H270/Listes!$D$5))</f>
        <v/>
      </c>
      <c r="J270" s="24" t="str">
        <f aca="false">IF(AND(F270="",G270="",H270=""),"",SUM(F$7:F270)-SUM(I$7:I270))</f>
        <v/>
      </c>
    </row>
    <row r="271" customFormat="false" ht="15" hidden="false" customHeight="false" outlineLevel="0" collapsed="false">
      <c r="A271" s="18"/>
      <c r="B271" s="19"/>
      <c r="C271" s="19"/>
      <c r="D271" s="19"/>
      <c r="E271" s="20"/>
      <c r="F271" s="21"/>
      <c r="G271" s="21"/>
      <c r="H271" s="22"/>
      <c r="I271" s="23" t="str">
        <f aca="false">IF(AND(G271="",H271=""),"",IF(G271&lt;&gt;"",G271,H271/Listes!$D$5))</f>
        <v/>
      </c>
      <c r="J271" s="24" t="str">
        <f aca="false">IF(AND(F271="",G271="",H271=""),"",SUM(F$7:F271)-SUM(I$7:I271))</f>
        <v/>
      </c>
    </row>
    <row r="272" customFormat="false" ht="15" hidden="false" customHeight="false" outlineLevel="0" collapsed="false">
      <c r="A272" s="18"/>
      <c r="B272" s="19"/>
      <c r="C272" s="19"/>
      <c r="D272" s="19"/>
      <c r="E272" s="20"/>
      <c r="F272" s="21"/>
      <c r="G272" s="21"/>
      <c r="H272" s="22"/>
      <c r="I272" s="23" t="str">
        <f aca="false">IF(AND(G272="",H272=""),"",IF(G272&lt;&gt;"",G272,H272/Listes!$D$5))</f>
        <v/>
      </c>
      <c r="J272" s="24" t="str">
        <f aca="false">IF(AND(F272="",G272="",H272=""),"",SUM(F$7:F272)-SUM(I$7:I272))</f>
        <v/>
      </c>
    </row>
    <row r="273" customFormat="false" ht="15" hidden="false" customHeight="false" outlineLevel="0" collapsed="false">
      <c r="A273" s="18"/>
      <c r="B273" s="19"/>
      <c r="C273" s="19"/>
      <c r="D273" s="19"/>
      <c r="E273" s="20"/>
      <c r="F273" s="21"/>
      <c r="G273" s="21"/>
      <c r="H273" s="22"/>
      <c r="I273" s="23" t="str">
        <f aca="false">IF(AND(G273="",H273=""),"",IF(G273&lt;&gt;"",G273,H273/Listes!$D$5))</f>
        <v/>
      </c>
      <c r="J273" s="24" t="str">
        <f aca="false">IF(AND(F273="",G273="",H273=""),"",SUM(F$7:F273)-SUM(I$7:I273))</f>
        <v/>
      </c>
    </row>
    <row r="274" customFormat="false" ht="15" hidden="false" customHeight="false" outlineLevel="0" collapsed="false">
      <c r="A274" s="18"/>
      <c r="B274" s="19"/>
      <c r="C274" s="19"/>
      <c r="D274" s="19"/>
      <c r="E274" s="20"/>
      <c r="F274" s="21"/>
      <c r="G274" s="21"/>
      <c r="H274" s="22"/>
      <c r="I274" s="23" t="str">
        <f aca="false">IF(AND(G274="",H274=""),"",IF(G274&lt;&gt;"",G274,H274/Listes!$D$5))</f>
        <v/>
      </c>
      <c r="J274" s="24" t="str">
        <f aca="false">IF(AND(F274="",G274="",H274=""),"",SUM(F$7:F274)-SUM(I$7:I274))</f>
        <v/>
      </c>
    </row>
    <row r="275" customFormat="false" ht="15" hidden="false" customHeight="false" outlineLevel="0" collapsed="false">
      <c r="A275" s="18"/>
      <c r="B275" s="19"/>
      <c r="C275" s="19"/>
      <c r="D275" s="19"/>
      <c r="E275" s="20"/>
      <c r="F275" s="21"/>
      <c r="G275" s="21"/>
      <c r="H275" s="22"/>
      <c r="I275" s="23" t="str">
        <f aca="false">IF(AND(G275="",H275=""),"",IF(G275&lt;&gt;"",G275,H275/Listes!$D$5))</f>
        <v/>
      </c>
      <c r="J275" s="24" t="str">
        <f aca="false">IF(AND(F275="",G275="",H275=""),"",SUM(F$7:F275)-SUM(I$7:I275))</f>
        <v/>
      </c>
    </row>
    <row r="276" customFormat="false" ht="15" hidden="false" customHeight="false" outlineLevel="0" collapsed="false">
      <c r="A276" s="18"/>
      <c r="B276" s="19"/>
      <c r="C276" s="19"/>
      <c r="D276" s="19"/>
      <c r="E276" s="20"/>
      <c r="F276" s="21"/>
      <c r="G276" s="21"/>
      <c r="H276" s="22"/>
      <c r="I276" s="23" t="str">
        <f aca="false">IF(AND(G276="",H276=""),"",IF(G276&lt;&gt;"",G276,H276/Listes!$D$5))</f>
        <v/>
      </c>
      <c r="J276" s="24" t="str">
        <f aca="false">IF(AND(F276="",G276="",H276=""),"",SUM(F$7:F276)-SUM(I$7:I276))</f>
        <v/>
      </c>
    </row>
    <row r="277" customFormat="false" ht="15" hidden="false" customHeight="false" outlineLevel="0" collapsed="false">
      <c r="A277" s="18"/>
      <c r="B277" s="19"/>
      <c r="C277" s="19"/>
      <c r="D277" s="19"/>
      <c r="E277" s="20"/>
      <c r="F277" s="21"/>
      <c r="G277" s="21"/>
      <c r="H277" s="22"/>
      <c r="I277" s="23" t="str">
        <f aca="false">IF(AND(G277="",H277=""),"",IF(G277&lt;&gt;"",G277,H277/Listes!$D$5))</f>
        <v/>
      </c>
      <c r="J277" s="24" t="str">
        <f aca="false">IF(AND(F277="",G277="",H277=""),"",SUM(F$7:F277)-SUM(I$7:I277))</f>
        <v/>
      </c>
    </row>
    <row r="278" customFormat="false" ht="15" hidden="false" customHeight="false" outlineLevel="0" collapsed="false">
      <c r="A278" s="18"/>
      <c r="B278" s="19"/>
      <c r="C278" s="19"/>
      <c r="D278" s="19"/>
      <c r="E278" s="20"/>
      <c r="F278" s="21"/>
      <c r="G278" s="21"/>
      <c r="H278" s="22"/>
      <c r="I278" s="23" t="str">
        <f aca="false">IF(AND(G278="",H278=""),"",IF(G278&lt;&gt;"",G278,H278/Listes!$D$5))</f>
        <v/>
      </c>
      <c r="J278" s="24" t="str">
        <f aca="false">IF(AND(F278="",G278="",H278=""),"",SUM(F$7:F278)-SUM(I$7:I278))</f>
        <v/>
      </c>
    </row>
    <row r="279" customFormat="false" ht="15" hidden="false" customHeight="false" outlineLevel="0" collapsed="false">
      <c r="A279" s="18"/>
      <c r="B279" s="19"/>
      <c r="C279" s="19"/>
      <c r="D279" s="19"/>
      <c r="E279" s="20"/>
      <c r="F279" s="21"/>
      <c r="G279" s="21"/>
      <c r="H279" s="22"/>
      <c r="I279" s="23" t="str">
        <f aca="false">IF(AND(G279="",H279=""),"",IF(G279&lt;&gt;"",G279,H279/Listes!$D$5))</f>
        <v/>
      </c>
      <c r="J279" s="24" t="str">
        <f aca="false">IF(AND(F279="",G279="",H279=""),"",SUM(F$7:F279)-SUM(I$7:I279))</f>
        <v/>
      </c>
    </row>
    <row r="280" customFormat="false" ht="15" hidden="false" customHeight="false" outlineLevel="0" collapsed="false">
      <c r="A280" s="18"/>
      <c r="B280" s="19"/>
      <c r="C280" s="19"/>
      <c r="D280" s="19"/>
      <c r="E280" s="20"/>
      <c r="F280" s="21"/>
      <c r="G280" s="21"/>
      <c r="H280" s="22"/>
      <c r="I280" s="23" t="str">
        <f aca="false">IF(AND(G280="",H280=""),"",IF(G280&lt;&gt;"",G280,H280/Listes!$D$5))</f>
        <v/>
      </c>
      <c r="J280" s="24" t="str">
        <f aca="false">IF(AND(F280="",G280="",H280=""),"",SUM(F$7:F280)-SUM(I$7:I280))</f>
        <v/>
      </c>
    </row>
    <row r="281" customFormat="false" ht="15" hidden="false" customHeight="false" outlineLevel="0" collapsed="false">
      <c r="A281" s="18"/>
      <c r="B281" s="19"/>
      <c r="C281" s="19"/>
      <c r="D281" s="19"/>
      <c r="E281" s="20"/>
      <c r="F281" s="21"/>
      <c r="G281" s="21"/>
      <c r="H281" s="22"/>
      <c r="I281" s="23" t="str">
        <f aca="false">IF(AND(G281="",H281=""),"",IF(G281&lt;&gt;"",G281,H281/Listes!$D$5))</f>
        <v/>
      </c>
      <c r="J281" s="24" t="str">
        <f aca="false">IF(AND(F281="",G281="",H281=""),"",SUM(F$7:F281)-SUM(I$7:I281))</f>
        <v/>
      </c>
    </row>
    <row r="282" customFormat="false" ht="15" hidden="false" customHeight="false" outlineLevel="0" collapsed="false">
      <c r="A282" s="18"/>
      <c r="B282" s="19"/>
      <c r="C282" s="19"/>
      <c r="D282" s="19"/>
      <c r="E282" s="20"/>
      <c r="F282" s="21"/>
      <c r="G282" s="21"/>
      <c r="H282" s="22"/>
      <c r="I282" s="23" t="str">
        <f aca="false">IF(AND(G282="",H282=""),"",IF(G282&lt;&gt;"",G282,H282/Listes!$D$5))</f>
        <v/>
      </c>
      <c r="J282" s="24" t="str">
        <f aca="false">IF(AND(F282="",G282="",H282=""),"",SUM(F$7:F282)-SUM(I$7:I282))</f>
        <v/>
      </c>
    </row>
    <row r="283" customFormat="false" ht="15" hidden="false" customHeight="false" outlineLevel="0" collapsed="false">
      <c r="A283" s="18"/>
      <c r="B283" s="19"/>
      <c r="C283" s="19"/>
      <c r="D283" s="19"/>
      <c r="E283" s="20"/>
      <c r="F283" s="21"/>
      <c r="G283" s="21"/>
      <c r="H283" s="22"/>
      <c r="I283" s="23" t="str">
        <f aca="false">IF(AND(G283="",H283=""),"",IF(G283&lt;&gt;"",G283,H283/Listes!$D$5))</f>
        <v/>
      </c>
      <c r="J283" s="24" t="str">
        <f aca="false">IF(AND(F283="",G283="",H283=""),"",SUM(F$7:F283)-SUM(I$7:I283))</f>
        <v/>
      </c>
    </row>
    <row r="284" customFormat="false" ht="15" hidden="false" customHeight="false" outlineLevel="0" collapsed="false">
      <c r="A284" s="18"/>
      <c r="B284" s="19"/>
      <c r="C284" s="19"/>
      <c r="D284" s="19"/>
      <c r="E284" s="20"/>
      <c r="F284" s="21"/>
      <c r="G284" s="21"/>
      <c r="H284" s="22"/>
      <c r="I284" s="23" t="str">
        <f aca="false">IF(AND(G284="",H284=""),"",IF(G284&lt;&gt;"",G284,H284/Listes!$D$5))</f>
        <v/>
      </c>
      <c r="J284" s="24" t="str">
        <f aca="false">IF(AND(F284="",G284="",H284=""),"",SUM(F$7:F284)-SUM(I$7:I284))</f>
        <v/>
      </c>
    </row>
    <row r="285" customFormat="false" ht="15" hidden="false" customHeight="false" outlineLevel="0" collapsed="false">
      <c r="A285" s="18"/>
      <c r="B285" s="19"/>
      <c r="C285" s="19"/>
      <c r="D285" s="19"/>
      <c r="E285" s="20"/>
      <c r="F285" s="21"/>
      <c r="G285" s="21"/>
      <c r="H285" s="22"/>
      <c r="I285" s="23" t="str">
        <f aca="false">IF(AND(G285="",H285=""),"",IF(G285&lt;&gt;"",G285,H285/Listes!$D$5))</f>
        <v/>
      </c>
      <c r="J285" s="24" t="str">
        <f aca="false">IF(AND(F285="",G285="",H285=""),"",SUM(F$7:F285)-SUM(I$7:I285))</f>
        <v/>
      </c>
    </row>
    <row r="286" customFormat="false" ht="15" hidden="false" customHeight="false" outlineLevel="0" collapsed="false">
      <c r="A286" s="18"/>
      <c r="B286" s="19"/>
      <c r="C286" s="19"/>
      <c r="D286" s="19"/>
      <c r="E286" s="20"/>
      <c r="F286" s="21"/>
      <c r="G286" s="21"/>
      <c r="H286" s="22"/>
      <c r="I286" s="23" t="str">
        <f aca="false">IF(AND(G286="",H286=""),"",IF(G286&lt;&gt;"",G286,H286/Listes!$D$5))</f>
        <v/>
      </c>
      <c r="J286" s="24" t="str">
        <f aca="false">IF(AND(F286="",G286="",H286=""),"",SUM(F$7:F286)-SUM(I$7:I286))</f>
        <v/>
      </c>
    </row>
    <row r="287" customFormat="false" ht="15" hidden="false" customHeight="false" outlineLevel="0" collapsed="false">
      <c r="A287" s="18"/>
      <c r="B287" s="19"/>
      <c r="C287" s="19"/>
      <c r="D287" s="19"/>
      <c r="E287" s="20"/>
      <c r="F287" s="21"/>
      <c r="G287" s="21"/>
      <c r="H287" s="22"/>
      <c r="I287" s="23" t="str">
        <f aca="false">IF(AND(G287="",H287=""),"",IF(G287&lt;&gt;"",G287,H287/Listes!$D$5))</f>
        <v/>
      </c>
      <c r="J287" s="24" t="str">
        <f aca="false">IF(AND(F287="",G287="",H287=""),"",SUM(F$7:F287)-SUM(I$7:I287))</f>
        <v/>
      </c>
    </row>
    <row r="288" customFormat="false" ht="15" hidden="false" customHeight="false" outlineLevel="0" collapsed="false">
      <c r="A288" s="18"/>
      <c r="B288" s="19"/>
      <c r="C288" s="19"/>
      <c r="D288" s="19"/>
      <c r="E288" s="20"/>
      <c r="F288" s="21"/>
      <c r="G288" s="21"/>
      <c r="H288" s="22"/>
      <c r="I288" s="23" t="str">
        <f aca="false">IF(AND(G288="",H288=""),"",IF(G288&lt;&gt;"",G288,H288/Listes!$D$5))</f>
        <v/>
      </c>
      <c r="J288" s="24" t="str">
        <f aca="false">IF(AND(F288="",G288="",H288=""),"",SUM(F$7:F288)-SUM(I$7:I288))</f>
        <v/>
      </c>
    </row>
    <row r="289" customFormat="false" ht="15" hidden="false" customHeight="false" outlineLevel="0" collapsed="false">
      <c r="A289" s="18"/>
      <c r="B289" s="19"/>
      <c r="C289" s="19"/>
      <c r="D289" s="19"/>
      <c r="E289" s="20"/>
      <c r="F289" s="21"/>
      <c r="G289" s="21"/>
      <c r="H289" s="22"/>
      <c r="I289" s="23" t="str">
        <f aca="false">IF(AND(G289="",H289=""),"",IF(G289&lt;&gt;"",G289,H289/Listes!$D$5))</f>
        <v/>
      </c>
      <c r="J289" s="24" t="str">
        <f aca="false">IF(AND(F289="",G289="",H289=""),"",SUM(F$7:F289)-SUM(I$7:I289))</f>
        <v/>
      </c>
    </row>
    <row r="290" customFormat="false" ht="15" hidden="false" customHeight="false" outlineLevel="0" collapsed="false">
      <c r="A290" s="18"/>
      <c r="B290" s="19"/>
      <c r="C290" s="19"/>
      <c r="D290" s="19"/>
      <c r="E290" s="20"/>
      <c r="F290" s="21"/>
      <c r="G290" s="21"/>
      <c r="H290" s="22"/>
      <c r="I290" s="23" t="str">
        <f aca="false">IF(AND(G290="",H290=""),"",IF(G290&lt;&gt;"",G290,H290/Listes!$D$5))</f>
        <v/>
      </c>
      <c r="J290" s="24" t="str">
        <f aca="false">IF(AND(F290="",G290="",H290=""),"",SUM(F$7:F290)-SUM(I$7:I290))</f>
        <v/>
      </c>
    </row>
    <row r="291" customFormat="false" ht="15" hidden="false" customHeight="false" outlineLevel="0" collapsed="false">
      <c r="A291" s="18"/>
      <c r="B291" s="19"/>
      <c r="C291" s="19"/>
      <c r="D291" s="19"/>
      <c r="E291" s="20"/>
      <c r="F291" s="21"/>
      <c r="G291" s="21"/>
      <c r="H291" s="22"/>
      <c r="I291" s="23" t="str">
        <f aca="false">IF(AND(G291="",H291=""),"",IF(G291&lt;&gt;"",G291,H291/Listes!$D$5))</f>
        <v/>
      </c>
      <c r="J291" s="24" t="str">
        <f aca="false">IF(AND(F291="",G291="",H291=""),"",SUM(F$7:F291)-SUM(I$7:I291))</f>
        <v/>
      </c>
    </row>
    <row r="292" customFormat="false" ht="15" hidden="false" customHeight="false" outlineLevel="0" collapsed="false">
      <c r="A292" s="18"/>
      <c r="B292" s="19"/>
      <c r="C292" s="19"/>
      <c r="D292" s="19"/>
      <c r="E292" s="20"/>
      <c r="F292" s="21"/>
      <c r="G292" s="21"/>
      <c r="H292" s="22"/>
      <c r="I292" s="23" t="str">
        <f aca="false">IF(AND(G292="",H292=""),"",IF(G292&lt;&gt;"",G292,H292/Listes!$D$5))</f>
        <v/>
      </c>
      <c r="J292" s="24" t="str">
        <f aca="false">IF(AND(F292="",G292="",H292=""),"",SUM(F$7:F292)-SUM(I$7:I292))</f>
        <v/>
      </c>
    </row>
    <row r="293" customFormat="false" ht="15" hidden="false" customHeight="false" outlineLevel="0" collapsed="false">
      <c r="A293" s="18"/>
      <c r="B293" s="19"/>
      <c r="C293" s="19"/>
      <c r="D293" s="19"/>
      <c r="E293" s="20"/>
      <c r="F293" s="21"/>
      <c r="G293" s="21"/>
      <c r="H293" s="22"/>
      <c r="I293" s="23" t="str">
        <f aca="false">IF(AND(G293="",H293=""),"",IF(G293&lt;&gt;"",G293,H293/Listes!$D$5))</f>
        <v/>
      </c>
      <c r="J293" s="24" t="str">
        <f aca="false">IF(AND(F293="",G293="",H293=""),"",SUM(F$7:F293)-SUM(I$7:I293))</f>
        <v/>
      </c>
    </row>
    <row r="294" customFormat="false" ht="15" hidden="false" customHeight="false" outlineLevel="0" collapsed="false">
      <c r="A294" s="18"/>
      <c r="B294" s="19"/>
      <c r="C294" s="19"/>
      <c r="D294" s="19"/>
      <c r="E294" s="20"/>
      <c r="F294" s="21"/>
      <c r="G294" s="21"/>
      <c r="H294" s="22"/>
      <c r="I294" s="23" t="str">
        <f aca="false">IF(AND(G294="",H294=""),"",IF(G294&lt;&gt;"",G294,H294/Listes!$D$5))</f>
        <v/>
      </c>
      <c r="J294" s="24" t="str">
        <f aca="false">IF(AND(F294="",G294="",H294=""),"",SUM(F$7:F294)-SUM(I$7:I294))</f>
        <v/>
      </c>
    </row>
    <row r="295" customFormat="false" ht="15" hidden="false" customHeight="false" outlineLevel="0" collapsed="false">
      <c r="A295" s="18"/>
      <c r="B295" s="19"/>
      <c r="C295" s="19"/>
      <c r="D295" s="19"/>
      <c r="E295" s="20"/>
      <c r="F295" s="21"/>
      <c r="G295" s="21"/>
      <c r="H295" s="22"/>
      <c r="I295" s="23" t="str">
        <f aca="false">IF(AND(G295="",H295=""),"",IF(G295&lt;&gt;"",G295,H295/Listes!$D$5))</f>
        <v/>
      </c>
      <c r="J295" s="24" t="str">
        <f aca="false">IF(AND(F295="",G295="",H295=""),"",SUM(F$7:F295)-SUM(I$7:I295))</f>
        <v/>
      </c>
    </row>
    <row r="296" customFormat="false" ht="15" hidden="false" customHeight="false" outlineLevel="0" collapsed="false">
      <c r="A296" s="18"/>
      <c r="B296" s="19"/>
      <c r="C296" s="19"/>
      <c r="D296" s="19"/>
      <c r="E296" s="20"/>
      <c r="F296" s="21"/>
      <c r="G296" s="21"/>
      <c r="H296" s="22"/>
      <c r="I296" s="23" t="str">
        <f aca="false">IF(AND(G296="",H296=""),"",IF(G296&lt;&gt;"",G296,H296/Listes!$D$5))</f>
        <v/>
      </c>
      <c r="J296" s="24" t="str">
        <f aca="false">IF(AND(F296="",G296="",H296=""),"",SUM(F$7:F296)-SUM(I$7:I296))</f>
        <v/>
      </c>
    </row>
    <row r="297" customFormat="false" ht="15" hidden="false" customHeight="false" outlineLevel="0" collapsed="false">
      <c r="A297" s="18"/>
      <c r="B297" s="19"/>
      <c r="C297" s="19"/>
      <c r="D297" s="19"/>
      <c r="E297" s="20"/>
      <c r="F297" s="21"/>
      <c r="G297" s="21"/>
      <c r="H297" s="22"/>
      <c r="I297" s="23" t="str">
        <f aca="false">IF(AND(G297="",H297=""),"",IF(G297&lt;&gt;"",G297,H297/Listes!$D$5))</f>
        <v/>
      </c>
      <c r="J297" s="24" t="str">
        <f aca="false">IF(AND(F297="",G297="",H297=""),"",SUM(F$7:F297)-SUM(I$7:I297))</f>
        <v/>
      </c>
    </row>
    <row r="298" customFormat="false" ht="15" hidden="false" customHeight="false" outlineLevel="0" collapsed="false">
      <c r="A298" s="18"/>
      <c r="B298" s="19"/>
      <c r="C298" s="19"/>
      <c r="D298" s="19"/>
      <c r="E298" s="20"/>
      <c r="F298" s="21"/>
      <c r="G298" s="21"/>
      <c r="H298" s="22"/>
      <c r="I298" s="23" t="str">
        <f aca="false">IF(AND(G298="",H298=""),"",IF(G298&lt;&gt;"",G298,H298/Listes!$D$5))</f>
        <v/>
      </c>
      <c r="J298" s="24" t="str">
        <f aca="false">IF(AND(F298="",G298="",H298=""),"",SUM(F$7:F298)-SUM(I$7:I298))</f>
        <v/>
      </c>
    </row>
    <row r="299" customFormat="false" ht="15" hidden="false" customHeight="false" outlineLevel="0" collapsed="false">
      <c r="A299" s="18"/>
      <c r="B299" s="19"/>
      <c r="C299" s="19"/>
      <c r="D299" s="19"/>
      <c r="E299" s="20"/>
      <c r="F299" s="21"/>
      <c r="G299" s="21"/>
      <c r="H299" s="22"/>
      <c r="I299" s="23" t="str">
        <f aca="false">IF(AND(G299="",H299=""),"",IF(G299&lt;&gt;"",G299,H299/Listes!$D$5))</f>
        <v/>
      </c>
      <c r="J299" s="24" t="str">
        <f aca="false">IF(AND(F299="",G299="",H299=""),"",SUM(F$7:F299)-SUM(I$7:I299))</f>
        <v/>
      </c>
    </row>
    <row r="300" customFormat="false" ht="15" hidden="false" customHeight="false" outlineLevel="0" collapsed="false">
      <c r="A300" s="18"/>
      <c r="B300" s="19"/>
      <c r="C300" s="19"/>
      <c r="D300" s="19"/>
      <c r="E300" s="20"/>
      <c r="F300" s="21"/>
      <c r="G300" s="21"/>
      <c r="H300" s="22"/>
      <c r="I300" s="23" t="str">
        <f aca="false">IF(AND(G300="",H300=""),"",IF(G300&lt;&gt;"",G300,H300/Listes!$D$5))</f>
        <v/>
      </c>
      <c r="J300" s="24" t="str">
        <f aca="false">IF(AND(F300="",G300="",H300=""),"",SUM(F$7:F300)-SUM(I$7:I300))</f>
        <v/>
      </c>
    </row>
    <row r="301" customFormat="false" ht="15" hidden="false" customHeight="false" outlineLevel="0" collapsed="false">
      <c r="A301" s="18"/>
      <c r="B301" s="19"/>
      <c r="C301" s="19"/>
      <c r="D301" s="19"/>
      <c r="E301" s="20"/>
      <c r="F301" s="21"/>
      <c r="G301" s="21"/>
      <c r="H301" s="22"/>
      <c r="I301" s="23" t="str">
        <f aca="false">IF(AND(G301="",H301=""),"",IF(G301&lt;&gt;"",G301,H301/Listes!$D$5))</f>
        <v/>
      </c>
      <c r="J301" s="24" t="str">
        <f aca="false">IF(AND(F301="",G301="",H301=""),"",SUM(F$7:F301)-SUM(I$7:I301))</f>
        <v/>
      </c>
    </row>
    <row r="302" customFormat="false" ht="15" hidden="false" customHeight="false" outlineLevel="0" collapsed="false">
      <c r="A302" s="18"/>
      <c r="B302" s="19"/>
      <c r="C302" s="19"/>
      <c r="D302" s="19"/>
      <c r="E302" s="20"/>
      <c r="F302" s="21"/>
      <c r="G302" s="21"/>
      <c r="H302" s="22"/>
      <c r="I302" s="23" t="str">
        <f aca="false">IF(AND(G302="",H302=""),"",IF(G302&lt;&gt;"",G302,H302/Listes!$D$5))</f>
        <v/>
      </c>
      <c r="J302" s="24" t="str">
        <f aca="false">IF(AND(F302="",G302="",H302=""),"",SUM(F$7:F302)-SUM(I$7:I302))</f>
        <v/>
      </c>
    </row>
    <row r="303" customFormat="false" ht="15" hidden="false" customHeight="false" outlineLevel="0" collapsed="false">
      <c r="A303" s="18"/>
      <c r="B303" s="19"/>
      <c r="C303" s="19"/>
      <c r="D303" s="19"/>
      <c r="E303" s="20"/>
      <c r="F303" s="21"/>
      <c r="G303" s="21"/>
      <c r="H303" s="22"/>
      <c r="I303" s="23" t="str">
        <f aca="false">IF(AND(G303="",H303=""),"",IF(G303&lt;&gt;"",G303,H303/Listes!$D$5))</f>
        <v/>
      </c>
      <c r="J303" s="24" t="str">
        <f aca="false">IF(AND(F303="",G303="",H303=""),"",SUM(F$7:F303)-SUM(I$7:I303))</f>
        <v/>
      </c>
    </row>
    <row r="304" customFormat="false" ht="15" hidden="false" customHeight="false" outlineLevel="0" collapsed="false">
      <c r="A304" s="18"/>
      <c r="B304" s="19"/>
      <c r="C304" s="19"/>
      <c r="D304" s="19"/>
      <c r="E304" s="20"/>
      <c r="F304" s="21"/>
      <c r="G304" s="21"/>
      <c r="H304" s="22"/>
      <c r="I304" s="23" t="str">
        <f aca="false">IF(AND(G304="",H304=""),"",IF(G304&lt;&gt;"",G304,H304/Listes!$D$5))</f>
        <v/>
      </c>
      <c r="J304" s="24" t="str">
        <f aca="false">IF(AND(F304="",G304="",H304=""),"",SUM(F$7:F304)-SUM(I$7:I304))</f>
        <v/>
      </c>
    </row>
    <row r="305" customFormat="false" ht="15" hidden="false" customHeight="false" outlineLevel="0" collapsed="false">
      <c r="A305" s="18"/>
      <c r="B305" s="19"/>
      <c r="C305" s="19"/>
      <c r="D305" s="19"/>
      <c r="E305" s="20"/>
      <c r="F305" s="21"/>
      <c r="G305" s="21"/>
      <c r="H305" s="22"/>
      <c r="I305" s="23" t="str">
        <f aca="false">IF(AND(G305="",H305=""),"",IF(G305&lt;&gt;"",G305,H305/Listes!$D$5))</f>
        <v/>
      </c>
      <c r="J305" s="24" t="str">
        <f aca="false">IF(AND(F305="",G305="",H305=""),"",SUM(F$7:F305)-SUM(I$7:I305))</f>
        <v/>
      </c>
    </row>
    <row r="306" customFormat="false" ht="15" hidden="false" customHeight="false" outlineLevel="0" collapsed="false">
      <c r="A306" s="18"/>
      <c r="B306" s="19"/>
      <c r="C306" s="19"/>
      <c r="D306" s="19"/>
      <c r="E306" s="20"/>
      <c r="F306" s="21"/>
      <c r="G306" s="21"/>
      <c r="H306" s="22"/>
      <c r="I306" s="23" t="str">
        <f aca="false">IF(AND(G306="",H306=""),"",IF(G306&lt;&gt;"",G306,H306/Listes!$D$5))</f>
        <v/>
      </c>
      <c r="J306" s="24" t="str">
        <f aca="false">IF(AND(F306="",G306="",H306=""),"",SUM(F$7:F306)-SUM(I$7:I306))</f>
        <v/>
      </c>
    </row>
  </sheetData>
  <mergeCells count="12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conditionalFormatting sqref="C7:C306">
    <cfRule type="cellIs" priority="2" operator="equal" aboveAverage="0" equalAverage="0" bottom="0" percent="0" rank="0" text="" dxfId="0">
      <formula>"Don reçu"</formula>
    </cfRule>
    <cfRule type="cellIs" priority="3" operator="equal" aboveAverage="0" equalAverage="0" bottom="0" percent="0" rank="0" text="" dxfId="1">
      <formula>"Logistique"</formula>
    </cfRule>
  </conditionalFormatting>
  <dataValidations count="2">
    <dataValidation allowBlank="true" errorStyle="stop" operator="between" showDropDown="false" showErrorMessage="false" showInputMessage="false" sqref="B7:B306" type="list">
      <formula1>Listes!$A$5:$A$16</formula1>
      <formula2>0</formula2>
    </dataValidation>
    <dataValidation allowBlank="true" errorStyle="stop" operator="between" showDropDown="false" showErrorMessage="false" showInputMessage="false" sqref="C7:C306" type="list">
      <formula1>Listes!$B$5:$B$12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5" t="s">
        <v>43</v>
      </c>
      <c r="B3" s="26" t="n">
        <v>2026</v>
      </c>
    </row>
    <row r="5" customFormat="false" ht="25.5" hidden="false" customHeight="true" outlineLevel="0" collapsed="false">
      <c r="A5" s="17" t="s">
        <v>23</v>
      </c>
      <c r="B5" s="17" t="s">
        <v>44</v>
      </c>
      <c r="C5" s="17" t="s">
        <v>45</v>
      </c>
      <c r="D5" s="17" t="s">
        <v>46</v>
      </c>
      <c r="E5" s="17" t="s">
        <v>47</v>
      </c>
      <c r="F5" s="17" t="s">
        <v>48</v>
      </c>
      <c r="G5" s="17" t="s">
        <v>49</v>
      </c>
      <c r="H5" s="17" t="s">
        <v>50</v>
      </c>
      <c r="I5" s="17" t="s">
        <v>51</v>
      </c>
    </row>
    <row r="6" customFormat="false" ht="15" hidden="false" customHeight="false" outlineLevel="0" collapsed="false">
      <c r="A6" s="27" t="str">
        <f aca="false">IF(Listes!A5="","",Listes!A5)</f>
        <v>Rentrée scolaire 2025</v>
      </c>
      <c r="B6" s="23" t="n">
        <f aca="false">IF($A6="","",SUMIFS(Trésorerie!$F$7:$F$306,Trésorerie!$B$7:$B$306,$A6))</f>
        <v>0</v>
      </c>
      <c r="C6" s="18"/>
      <c r="D6" s="21"/>
      <c r="E6" s="28" t="str">
        <f aca="false">IF(OR($A6="",D6=""),"",D6*Listes!$D$5)</f>
        <v/>
      </c>
      <c r="F6" s="23" t="n">
        <f aca="false">IF($A6="","",SUMIFS(Trésorerie!$I$7:$I$306,Trésorerie!$B$7:$B$306,$A6))</f>
        <v>0</v>
      </c>
      <c r="G6" s="23" t="str">
        <f aca="false">IF(OR($A6="",D6=""),"",D6-F6)</f>
        <v/>
      </c>
      <c r="H6" s="24" t="n">
        <f aca="false">IF($A6="","",B6-IF(D6="",0,D6))</f>
        <v>0</v>
      </c>
      <c r="I6" s="29" t="str">
        <f aca="false">IF(OR($A6="",D6="",D6=0),"",F6/D6)</f>
        <v/>
      </c>
    </row>
    <row r="7" customFormat="false" ht="15" hidden="false" customHeight="false" outlineLevel="0" collapsed="false">
      <c r="A7" s="27" t="str">
        <f aca="false">IF(Listes!A6="","",Listes!A6)</f>
        <v>Noël 2025</v>
      </c>
      <c r="B7" s="23" t="n">
        <f aca="false">IF($A7="","",SUMIFS(Trésorerie!$F$7:$F$306,Trésorerie!$B$7:$B$306,$A7))</f>
        <v>3200</v>
      </c>
      <c r="C7" s="18" t="n">
        <v>45996</v>
      </c>
      <c r="D7" s="21" t="n">
        <v>3000</v>
      </c>
      <c r="E7" s="28" t="n">
        <f aca="false">IF(OR($A7="",D7=""),"",D7*Listes!$D$5)</f>
        <v>1967871</v>
      </c>
      <c r="F7" s="23" t="n">
        <f aca="false">IF($A7="","",SUMIFS(Trésorerie!$I$7:$I$306,Trésorerie!$B$7:$B$306,$A7))</f>
        <v>339.163329303598</v>
      </c>
      <c r="G7" s="23" t="n">
        <f aca="false">IF(OR($A7="",D7=""),"",D7-F7)</f>
        <v>2660.8366706964</v>
      </c>
      <c r="H7" s="24" t="n">
        <f aca="false">IF($A7="","",B7-IF(D7="",0,D7))</f>
        <v>200</v>
      </c>
      <c r="I7" s="29" t="n">
        <f aca="false">IF(OR($A7="",D7="",D7=0),"",F7/D7)</f>
        <v>0.113054443101199</v>
      </c>
    </row>
    <row r="8" customFormat="false" ht="15" hidden="false" customHeight="false" outlineLevel="0" collapsed="false">
      <c r="A8" s="27" t="str">
        <f aca="false">IF(Listes!A7="","",Listes!A7)</f>
        <v>Pâques 2026</v>
      </c>
      <c r="B8" s="23" t="n">
        <f aca="false">IF($A8="","",SUMIFS(Trésorerie!$F$7:$F$306,Trésorerie!$B$7:$B$306,$A8))</f>
        <v>0</v>
      </c>
      <c r="C8" s="18"/>
      <c r="D8" s="21"/>
      <c r="E8" s="28" t="str">
        <f aca="false">IF(OR($A8="",D8=""),"",D8*Listes!$D$5)</f>
        <v/>
      </c>
      <c r="F8" s="23" t="n">
        <f aca="false">IF($A8="","",SUMIFS(Trésorerie!$I$7:$I$306,Trésorerie!$B$7:$B$306,$A8))</f>
        <v>0</v>
      </c>
      <c r="G8" s="23" t="str">
        <f aca="false">IF(OR($A8="",D8=""),"",D8-F8)</f>
        <v/>
      </c>
      <c r="H8" s="24" t="n">
        <f aca="false">IF($A8="","",B8-IF(D8="",0,D8))</f>
        <v>0</v>
      </c>
      <c r="I8" s="29" t="str">
        <f aca="false">IF(OR($A8="",D8="",D8=0),"",F8/D8)</f>
        <v/>
      </c>
    </row>
    <row r="9" customFormat="false" ht="15" hidden="false" customHeight="false" outlineLevel="0" collapsed="false">
      <c r="A9" s="27" t="str">
        <f aca="false">IF(Listes!A8="","",Listes!A8)</f>
        <v>Rentrée scolaire 2026</v>
      </c>
      <c r="B9" s="23" t="n">
        <f aca="false">IF($A9="","",SUMIFS(Trésorerie!$F$7:$F$306,Trésorerie!$B$7:$B$306,$A9))</f>
        <v>0</v>
      </c>
      <c r="C9" s="18"/>
      <c r="D9" s="21"/>
      <c r="E9" s="28" t="str">
        <f aca="false">IF(OR($A9="",D9=""),"",D9*Listes!$D$5)</f>
        <v/>
      </c>
      <c r="F9" s="23" t="n">
        <f aca="false">IF($A9="","",SUMIFS(Trésorerie!$I$7:$I$306,Trésorerie!$B$7:$B$306,$A9))</f>
        <v>0</v>
      </c>
      <c r="G9" s="23" t="str">
        <f aca="false">IF(OR($A9="",D9=""),"",D9-F9)</f>
        <v/>
      </c>
      <c r="H9" s="24" t="n">
        <f aca="false">IF($A9="","",B9-IF(D9="",0,D9))</f>
        <v>0</v>
      </c>
      <c r="I9" s="29" t="str">
        <f aca="false">IF(OR($A9="",D9="",D9=0),"",F9/D9)</f>
        <v/>
      </c>
    </row>
    <row r="10" customFormat="false" ht="15" hidden="false" customHeight="false" outlineLevel="0" collapsed="false">
      <c r="A10" s="27" t="str">
        <f aca="false">IF(Listes!A9="","",Listes!A9)</f>
        <v>Noël 2026</v>
      </c>
      <c r="B10" s="23" t="n">
        <f aca="false">IF($A10="","",SUMIFS(Trésorerie!$F$7:$F$306,Trésorerie!$B$7:$B$306,$A10))</f>
        <v>0</v>
      </c>
      <c r="C10" s="18"/>
      <c r="D10" s="21"/>
      <c r="E10" s="28" t="str">
        <f aca="false">IF(OR($A10="",D10=""),"",D10*Listes!$D$5)</f>
        <v/>
      </c>
      <c r="F10" s="23" t="n">
        <f aca="false">IF($A10="","",SUMIFS(Trésorerie!$I$7:$I$306,Trésorerie!$B$7:$B$306,$A10))</f>
        <v>0</v>
      </c>
      <c r="G10" s="23" t="str">
        <f aca="false">IF(OR($A10="",D10=""),"",D10-F10)</f>
        <v/>
      </c>
      <c r="H10" s="24" t="n">
        <f aca="false">IF($A10="","",B10-IF(D10="",0,D10))</f>
        <v>0</v>
      </c>
      <c r="I10" s="29" t="str">
        <f aca="false">IF(OR($A10="",D10="",D10=0),"",F10/D10)</f>
        <v/>
      </c>
    </row>
    <row r="11" customFormat="false" ht="15" hidden="false" customHeight="false" outlineLevel="0" collapsed="false">
      <c r="A11" s="27" t="str">
        <f aca="false">IF(Listes!A10="","",Listes!A10)</f>
        <v>Opérations ponctuelles 2026</v>
      </c>
      <c r="B11" s="23" t="n">
        <f aca="false">IF($A11="","",SUMIFS(Trésorerie!$F$7:$F$306,Trésorerie!$B$7:$B$306,$A11))</f>
        <v>0</v>
      </c>
      <c r="C11" s="18"/>
      <c r="D11" s="21"/>
      <c r="E11" s="28" t="str">
        <f aca="false">IF(OR($A11="",D11=""),"",D11*Listes!$D$5)</f>
        <v/>
      </c>
      <c r="F11" s="23" t="n">
        <f aca="false">IF($A11="","",SUMIFS(Trésorerie!$I$7:$I$306,Trésorerie!$B$7:$B$306,$A11))</f>
        <v>0</v>
      </c>
      <c r="G11" s="23" t="str">
        <f aca="false">IF(OR($A11="",D11=""),"",D11-F11)</f>
        <v/>
      </c>
      <c r="H11" s="24" t="n">
        <f aca="false">IF($A11="","",B11-IF(D11="",0,D11))</f>
        <v>0</v>
      </c>
      <c r="I11" s="29" t="str">
        <f aca="false">IF(OR($A11="",D11="",D11=0),"",F11/D11)</f>
        <v/>
      </c>
    </row>
    <row r="12" customFormat="false" ht="15" hidden="false" customHeight="false" outlineLevel="0" collapsed="false">
      <c r="A12" s="27" t="str">
        <f aca="false">IF(Listes!A11="","",Listes!A11)</f>
        <v/>
      </c>
      <c r="B12" s="23" t="str">
        <f aca="false">IF($A12="","",SUMIFS(Trésorerie!$F$7:$F$306,Trésorerie!$B$7:$B$306,$A12))</f>
        <v/>
      </c>
      <c r="C12" s="18"/>
      <c r="D12" s="21"/>
      <c r="E12" s="28" t="str">
        <f aca="false">IF(OR($A12="",D12=""),"",D12*Listes!$D$5)</f>
        <v/>
      </c>
      <c r="F12" s="23" t="str">
        <f aca="false">IF($A12="","",SUMIFS(Trésorerie!$I$7:$I$306,Trésorerie!$B$7:$B$306,$A12))</f>
        <v/>
      </c>
      <c r="G12" s="23" t="str">
        <f aca="false">IF(OR($A12="",D12=""),"",D12-F12)</f>
        <v/>
      </c>
      <c r="H12" s="24" t="str">
        <f aca="false">IF($A12="","",B12-IF(D12="",0,D12))</f>
        <v/>
      </c>
      <c r="I12" s="29" t="str">
        <f aca="false">IF(OR($A12="",D12="",D12=0),"",F12/D12)</f>
        <v/>
      </c>
    </row>
    <row r="13" customFormat="false" ht="15" hidden="false" customHeight="false" outlineLevel="0" collapsed="false">
      <c r="A13" s="27" t="str">
        <f aca="false">IF(Listes!A12="","",Listes!A12)</f>
        <v/>
      </c>
      <c r="B13" s="23" t="str">
        <f aca="false">IF($A13="","",SUMIFS(Trésorerie!$F$7:$F$306,Trésorerie!$B$7:$B$306,$A13))</f>
        <v/>
      </c>
      <c r="C13" s="18"/>
      <c r="D13" s="21"/>
      <c r="E13" s="28" t="str">
        <f aca="false">IF(OR($A13="",D13=""),"",D13*Listes!$D$5)</f>
        <v/>
      </c>
      <c r="F13" s="23" t="str">
        <f aca="false">IF($A13="","",SUMIFS(Trésorerie!$I$7:$I$306,Trésorerie!$B$7:$B$306,$A13))</f>
        <v/>
      </c>
      <c r="G13" s="23" t="str">
        <f aca="false">IF(OR($A13="",D13=""),"",D13-F13)</f>
        <v/>
      </c>
      <c r="H13" s="24" t="str">
        <f aca="false">IF($A13="","",B13-IF(D13="",0,D13))</f>
        <v/>
      </c>
      <c r="I13" s="29" t="str">
        <f aca="false">IF(OR($A13="",D13="",D13=0),"",F13/D13)</f>
        <v/>
      </c>
    </row>
    <row r="14" customFormat="false" ht="15" hidden="false" customHeight="false" outlineLevel="0" collapsed="false">
      <c r="A14" s="27" t="str">
        <f aca="false">IF(Listes!A13="","",Listes!A13)</f>
        <v/>
      </c>
      <c r="B14" s="23" t="str">
        <f aca="false">IF($A14="","",SUMIFS(Trésorerie!$F$7:$F$306,Trésorerie!$B$7:$B$306,$A14))</f>
        <v/>
      </c>
      <c r="C14" s="18"/>
      <c r="D14" s="21"/>
      <c r="E14" s="28" t="str">
        <f aca="false">IF(OR($A14="",D14=""),"",D14*Listes!$D$5)</f>
        <v/>
      </c>
      <c r="F14" s="23" t="str">
        <f aca="false">IF($A14="","",SUMIFS(Trésorerie!$I$7:$I$306,Trésorerie!$B$7:$B$306,$A14))</f>
        <v/>
      </c>
      <c r="G14" s="23" t="str">
        <f aca="false">IF(OR($A14="",D14=""),"",D14-F14)</f>
        <v/>
      </c>
      <c r="H14" s="24" t="str">
        <f aca="false">IF($A14="","",B14-IF(D14="",0,D14))</f>
        <v/>
      </c>
      <c r="I14" s="29" t="str">
        <f aca="false">IF(OR($A14="",D14="",D14=0),"",F14/D14)</f>
        <v/>
      </c>
    </row>
    <row r="15" customFormat="false" ht="15" hidden="false" customHeight="false" outlineLevel="0" collapsed="false">
      <c r="A15" s="27" t="str">
        <f aca="false">IF(Listes!A14="","",Listes!A14)</f>
        <v/>
      </c>
      <c r="B15" s="23" t="str">
        <f aca="false">IF($A15="","",SUMIFS(Trésorerie!$F$7:$F$306,Trésorerie!$B$7:$B$306,$A15))</f>
        <v/>
      </c>
      <c r="C15" s="18"/>
      <c r="D15" s="21"/>
      <c r="E15" s="28" t="str">
        <f aca="false">IF(OR($A15="",D15=""),"",D15*Listes!$D$5)</f>
        <v/>
      </c>
      <c r="F15" s="23" t="str">
        <f aca="false">IF($A15="","",SUMIFS(Trésorerie!$I$7:$I$306,Trésorerie!$B$7:$B$306,$A15))</f>
        <v/>
      </c>
      <c r="G15" s="23" t="str">
        <f aca="false">IF(OR($A15="",D15=""),"",D15-F15)</f>
        <v/>
      </c>
      <c r="H15" s="24" t="str">
        <f aca="false">IF($A15="","",B15-IF(D15="",0,D15))</f>
        <v/>
      </c>
      <c r="I15" s="29" t="str">
        <f aca="false">IF(OR($A15="",D15="",D15=0),"",F15/D15)</f>
        <v/>
      </c>
    </row>
    <row r="16" customFormat="false" ht="15" hidden="false" customHeight="false" outlineLevel="0" collapsed="false">
      <c r="A16" s="27" t="str">
        <f aca="false">IF(Listes!A15="","",Listes!A15)</f>
        <v/>
      </c>
      <c r="B16" s="23" t="str">
        <f aca="false">IF($A16="","",SUMIFS(Trésorerie!$F$7:$F$306,Trésorerie!$B$7:$B$306,$A16))</f>
        <v/>
      </c>
      <c r="C16" s="18"/>
      <c r="D16" s="21"/>
      <c r="E16" s="28" t="str">
        <f aca="false">IF(OR($A16="",D16=""),"",D16*Listes!$D$5)</f>
        <v/>
      </c>
      <c r="F16" s="23" t="str">
        <f aca="false">IF($A16="","",SUMIFS(Trésorerie!$I$7:$I$306,Trésorerie!$B$7:$B$306,$A16))</f>
        <v/>
      </c>
      <c r="G16" s="23" t="str">
        <f aca="false">IF(OR($A16="",D16=""),"",D16-F16)</f>
        <v/>
      </c>
      <c r="H16" s="24" t="str">
        <f aca="false">IF($A16="","",B16-IF(D16="",0,D16))</f>
        <v/>
      </c>
      <c r="I16" s="29" t="str">
        <f aca="false">IF(OR($A16="",D16="",D16=0),"",F16/D16)</f>
        <v/>
      </c>
    </row>
    <row r="17" customFormat="false" ht="15" hidden="false" customHeight="false" outlineLevel="0" collapsed="false">
      <c r="A17" s="27" t="str">
        <f aca="false">IF(Listes!A16="","",Listes!A16)</f>
        <v/>
      </c>
      <c r="B17" s="23" t="str">
        <f aca="false">IF($A17="","",SUMIFS(Trésorerie!$F$7:$F$306,Trésorerie!$B$7:$B$306,$A17))</f>
        <v/>
      </c>
      <c r="C17" s="18"/>
      <c r="D17" s="21"/>
      <c r="E17" s="28" t="str">
        <f aca="false">IF(OR($A17="",D17=""),"",D17*Listes!$D$5)</f>
        <v/>
      </c>
      <c r="F17" s="23" t="str">
        <f aca="false">IF($A17="","",SUMIFS(Trésorerie!$I$7:$I$306,Trésorerie!$B$7:$B$306,$A17))</f>
        <v/>
      </c>
      <c r="G17" s="23" t="str">
        <f aca="false">IF(OR($A17="",D17=""),"",D17-F17)</f>
        <v/>
      </c>
      <c r="H17" s="24" t="str">
        <f aca="false">IF($A17="","",B17-IF(D17="",0,D17))</f>
        <v/>
      </c>
      <c r="I17" s="29" t="str">
        <f aca="false">IF(OR($A17="",D17="",D17=0),"",F17/D17)</f>
        <v/>
      </c>
    </row>
    <row r="18" customFormat="false" ht="21.75" hidden="false" customHeight="true" outlineLevel="0" collapsed="false">
      <c r="A18" s="30" t="s">
        <v>52</v>
      </c>
      <c r="B18" s="31" t="n">
        <f aca="false">SUM(B6:B17)</f>
        <v>3200</v>
      </c>
      <c r="C18" s="32"/>
      <c r="D18" s="31" t="n">
        <f aca="false">SUM(D6:D17)</f>
        <v>3000</v>
      </c>
      <c r="E18" s="33" t="n">
        <f aca="false">SUM(E6:E17)</f>
        <v>1967871</v>
      </c>
      <c r="F18" s="31" t="n">
        <f aca="false">SUM(F6:F17)</f>
        <v>339.163329303598</v>
      </c>
      <c r="G18" s="31" t="n">
        <f aca="false">SUM(G6:G17)</f>
        <v>2660.8366706964</v>
      </c>
      <c r="H18" s="31" t="n">
        <f aca="false">SUM(H6:H17)</f>
        <v>200</v>
      </c>
      <c r="I18" s="34" t="n">
        <f aca="false">IF(D18=0,"",F18/D18)</f>
        <v>0.113054443101199</v>
      </c>
    </row>
  </sheetData>
  <mergeCells count="2">
    <mergeCell ref="A1:I1"/>
    <mergeCell ref="A2:I2"/>
  </mergeCells>
  <conditionalFormatting sqref="I6:I17">
    <cfRule type="dataBar" priority="2">
      <dataBar showValue="1" minLength="10" maxLength="90">
        <cfvo type="num" val="0"/>
        <cfvo type="num" val="1"/>
        <color rgb="FFF9931D"/>
      </dataBar>
      <extLst>
        <ext xmlns:x14="http://schemas.microsoft.com/office/spreadsheetml/2009/9/main" uri="{B025F937-C7B1-47D3-B67F-A62EFF666E3E}">
          <x14:id>{12A52B63-A5EF-4A4E-B090-9ECB19F6D3DC}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A52B63-A5EF-4A4E-B090-9ECB19F6D3D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9931D"/>
              <x14:axisColor rgb="FF000000"/>
            </x14:dataBar>
          </x14:cfRule>
          <xm:sqref>I6:I17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7"/>
    <col collapsed="false" customWidth="true" hidden="false" outlineLevel="0" max="4" min="4" style="0" width="15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54</v>
      </c>
      <c r="B2" s="2"/>
      <c r="C2" s="2"/>
      <c r="D2" s="2"/>
      <c r="E2" s="2"/>
    </row>
    <row r="3" customFormat="false" ht="15" hidden="false" customHeight="false" outlineLevel="0" collapsed="false">
      <c r="A3" s="25" t="s">
        <v>43</v>
      </c>
      <c r="B3" s="26" t="n">
        <v>2026</v>
      </c>
    </row>
    <row r="5" customFormat="false" ht="25.5" hidden="false" customHeight="true" outlineLevel="0" collapsed="false">
      <c r="A5" s="17" t="s">
        <v>55</v>
      </c>
      <c r="B5" s="17" t="s">
        <v>56</v>
      </c>
      <c r="C5" s="17" t="s">
        <v>57</v>
      </c>
      <c r="D5" s="17" t="s">
        <v>58</v>
      </c>
      <c r="E5" s="17" t="s">
        <v>59</v>
      </c>
    </row>
    <row r="6" customFormat="false" ht="15" hidden="false" customHeight="false" outlineLevel="0" collapsed="false">
      <c r="A6" s="19" t="s">
        <v>35</v>
      </c>
      <c r="B6" s="21" t="n">
        <v>1500</v>
      </c>
      <c r="C6" s="23" t="n">
        <f aca="false">IF($A6="","",SUMIF(Trésorerie!$C$7:$C$306,$A6,Trésorerie!$I$7:$I$306))</f>
        <v>259.163329303598</v>
      </c>
      <c r="D6" s="23" t="n">
        <f aca="false">IF(OR($A6="",B6=""),"",B6-C6)</f>
        <v>1240.8366706964</v>
      </c>
      <c r="E6" s="29" t="n">
        <f aca="false">IF(OR($A6="",B6="",B6=0),"",C6/B6)</f>
        <v>0.172775552869065</v>
      </c>
    </row>
    <row r="7" customFormat="false" ht="15" hidden="false" customHeight="false" outlineLevel="0" collapsed="false">
      <c r="A7" s="19" t="s">
        <v>38</v>
      </c>
      <c r="B7" s="21" t="n">
        <v>300</v>
      </c>
      <c r="C7" s="23" t="n">
        <f aca="false">IF($A7="","",SUMIF(Trésorerie!$C$7:$C$306,$A7,Trésorerie!$I$7:$I$306))</f>
        <v>80</v>
      </c>
      <c r="D7" s="23" t="n">
        <f aca="false">IF(OR($A7="",B7=""),"",B7-C7)</f>
        <v>220</v>
      </c>
      <c r="E7" s="29" t="n">
        <f aca="false">IF(OR($A7="",B7="",B7=0),"",C7/B7)</f>
        <v>0.266666666666667</v>
      </c>
    </row>
    <row r="8" customFormat="false" ht="15" hidden="false" customHeight="false" outlineLevel="0" collapsed="false">
      <c r="A8" s="19" t="s">
        <v>60</v>
      </c>
      <c r="B8" s="21" t="n">
        <v>200</v>
      </c>
      <c r="C8" s="23" t="n">
        <f aca="false">IF($A8="","",SUMIF(Trésorerie!$C$7:$C$306,$A8,Trésorerie!$I$7:$I$306))</f>
        <v>0</v>
      </c>
      <c r="D8" s="23" t="n">
        <f aca="false">IF(OR($A8="",B8=""),"",B8-C8)</f>
        <v>200</v>
      </c>
      <c r="E8" s="29" t="n">
        <f aca="false">IF(OR($A8="",B8="",B8=0),"",C8/B8)</f>
        <v>0</v>
      </c>
    </row>
    <row r="9" customFormat="false" ht="15" hidden="false" customHeight="false" outlineLevel="0" collapsed="false">
      <c r="A9" s="19" t="s">
        <v>61</v>
      </c>
      <c r="B9" s="21" t="n">
        <v>100</v>
      </c>
      <c r="C9" s="23" t="n">
        <f aca="false">IF($A9="","",SUMIF(Trésorerie!$C$7:$C$306,$A9,Trésorerie!$I$7:$I$306))</f>
        <v>0</v>
      </c>
      <c r="D9" s="23" t="n">
        <f aca="false">IF(OR($A9="",B9=""),"",B9-C9)</f>
        <v>100</v>
      </c>
      <c r="E9" s="29" t="n">
        <f aca="false">IF(OR($A9="",B9="",B9=0),"",C9/B9)</f>
        <v>0</v>
      </c>
    </row>
    <row r="10" customFormat="false" ht="15" hidden="false" customHeight="false" outlineLevel="0" collapsed="false">
      <c r="A10" s="19"/>
      <c r="B10" s="21"/>
      <c r="C10" s="23" t="str">
        <f aca="false">IF($A10="","",SUMIF(Trésorerie!$C$7:$C$306,$A10,Trésorerie!$I$7:$I$306))</f>
        <v/>
      </c>
      <c r="D10" s="23" t="str">
        <f aca="false">IF(OR($A10="",B10=""),"",B10-C10)</f>
        <v/>
      </c>
      <c r="E10" s="29" t="str">
        <f aca="false">IF(OR($A10="",B10="",B10=0),"",C10/B10)</f>
        <v/>
      </c>
    </row>
    <row r="11" customFormat="false" ht="15" hidden="false" customHeight="false" outlineLevel="0" collapsed="false">
      <c r="A11" s="19"/>
      <c r="B11" s="21"/>
      <c r="C11" s="23" t="str">
        <f aca="false">IF($A11="","",SUMIF(Trésorerie!$C$7:$C$306,$A11,Trésorerie!$I$7:$I$306))</f>
        <v/>
      </c>
      <c r="D11" s="23" t="str">
        <f aca="false">IF(OR($A11="",B11=""),"",B11-C11)</f>
        <v/>
      </c>
      <c r="E11" s="29" t="str">
        <f aca="false">IF(OR($A11="",B11="",B11=0),"",C11/B11)</f>
        <v/>
      </c>
    </row>
    <row r="12" customFormat="false" ht="15" hidden="false" customHeight="false" outlineLevel="0" collapsed="false">
      <c r="A12" s="19"/>
      <c r="B12" s="21"/>
      <c r="C12" s="23" t="str">
        <f aca="false">IF($A12="","",SUMIF(Trésorerie!$C$7:$C$306,$A12,Trésorerie!$I$7:$I$306))</f>
        <v/>
      </c>
      <c r="D12" s="23" t="str">
        <f aca="false">IF(OR($A12="",B12=""),"",B12-C12)</f>
        <v/>
      </c>
      <c r="E12" s="29" t="str">
        <f aca="false">IF(OR($A12="",B12="",B12=0),"",C12/B12)</f>
        <v/>
      </c>
    </row>
    <row r="13" customFormat="false" ht="15" hidden="false" customHeight="false" outlineLevel="0" collapsed="false">
      <c r="A13" s="19"/>
      <c r="B13" s="21"/>
      <c r="C13" s="23" t="str">
        <f aca="false">IF($A13="","",SUMIF(Trésorerie!$C$7:$C$306,$A13,Trésorerie!$I$7:$I$306))</f>
        <v/>
      </c>
      <c r="D13" s="23" t="str">
        <f aca="false">IF(OR($A13="",B13=""),"",B13-C13)</f>
        <v/>
      </c>
      <c r="E13" s="29" t="str">
        <f aca="false">IF(OR($A13="",B13="",B13=0),"",C13/B13)</f>
        <v/>
      </c>
    </row>
    <row r="14" customFormat="false" ht="15" hidden="false" customHeight="false" outlineLevel="0" collapsed="false">
      <c r="A14" s="19"/>
      <c r="B14" s="21"/>
      <c r="C14" s="23" t="str">
        <f aca="false">IF($A14="","",SUMIF(Trésorerie!$C$7:$C$306,$A14,Trésorerie!$I$7:$I$306))</f>
        <v/>
      </c>
      <c r="D14" s="23" t="str">
        <f aca="false">IF(OR($A14="",B14=""),"",B14-C14)</f>
        <v/>
      </c>
      <c r="E14" s="29" t="str">
        <f aca="false">IF(OR($A14="",B14="",B14=0),"",C14/B14)</f>
        <v/>
      </c>
    </row>
    <row r="15" customFormat="false" ht="15" hidden="false" customHeight="false" outlineLevel="0" collapsed="false">
      <c r="A15" s="19"/>
      <c r="B15" s="21"/>
      <c r="C15" s="23" t="str">
        <f aca="false">IF($A15="","",SUMIF(Trésorerie!$C$7:$C$306,$A15,Trésorerie!$I$7:$I$306))</f>
        <v/>
      </c>
      <c r="D15" s="23" t="str">
        <f aca="false">IF(OR($A15="",B15=""),"",B15-C15)</f>
        <v/>
      </c>
      <c r="E15" s="29" t="str">
        <f aca="false">IF(OR($A15="",B15="",B15=0),"",C15/B15)</f>
        <v/>
      </c>
    </row>
    <row r="16" customFormat="false" ht="15" hidden="false" customHeight="false" outlineLevel="0" collapsed="false">
      <c r="A16" s="35" t="s">
        <v>62</v>
      </c>
      <c r="B16" s="36" t="n">
        <f aca="false">SUM(B6:B15)</f>
        <v>2100</v>
      </c>
      <c r="C16" s="36" t="n">
        <f aca="false">SUM(C6:C15)</f>
        <v>339.163329303598</v>
      </c>
      <c r="D16" s="36" t="n">
        <f aca="false">SUM(D6:D15)</f>
        <v>1760.8366706964</v>
      </c>
      <c r="E16" s="37" t="n">
        <f aca="false">IF(B16=0,"",C16/B16)</f>
        <v>0.161506347287427</v>
      </c>
    </row>
  </sheetData>
  <mergeCells count="2">
    <mergeCell ref="A1:E1"/>
    <mergeCell ref="A2:E2"/>
  </mergeCells>
  <conditionalFormatting sqref="E6:E15">
    <cfRule type="cellIs" priority="2" operator="greaterThan" aboveAverage="0" equalAverage="0" bottom="0" percent="0" rank="0" text="" dxfId="2">
      <formula>1</formula>
    </cfRule>
    <cfRule type="dataBar" priority="3">
      <dataBar showValue="1" minLength="10" maxLength="90">
        <cfvo type="num" val="0"/>
        <cfvo type="num" val="1"/>
        <color rgb="FF45B84B"/>
      </dataBar>
      <extLst>
        <ext xmlns:x14="http://schemas.microsoft.com/office/spreadsheetml/2009/9/main" uri="{B025F937-C7B1-47D3-B67F-A62EFF666E3E}">
          <x14:id>{D77578C3-4820-4310-ABA4-C5897E93346B}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578C3-4820-4310-ABA4-C5897E93346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5B84B"/>
              <x14:axisColor rgb="FF000000"/>
            </x14:dataBar>
          </x14:cfRule>
          <xm:sqref>E6:E15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6" min="3" style="0" width="13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</row>
    <row r="5" customFormat="false" ht="25.5" hidden="false" customHeight="true" outlineLevel="0" collapsed="false">
      <c r="A5" s="17" t="s">
        <v>65</v>
      </c>
      <c r="B5" s="17" t="s">
        <v>66</v>
      </c>
      <c r="C5" s="38" t="s">
        <v>32</v>
      </c>
      <c r="D5" s="38" t="s">
        <v>67</v>
      </c>
      <c r="E5" s="38" t="s">
        <v>68</v>
      </c>
      <c r="F5" s="38" t="s">
        <v>69</v>
      </c>
      <c r="G5" s="17" t="s">
        <v>70</v>
      </c>
      <c r="H5" s="17" t="s">
        <v>71</v>
      </c>
    </row>
    <row r="6" customFormat="false" ht="15" hidden="false" customHeight="false" outlineLevel="0" collapsed="false">
      <c r="A6" s="19" t="s">
        <v>72</v>
      </c>
      <c r="B6" s="20" t="s">
        <v>73</v>
      </c>
      <c r="C6" s="39" t="n">
        <v>11800</v>
      </c>
      <c r="D6" s="39" t="n">
        <v>12800</v>
      </c>
      <c r="E6" s="39"/>
      <c r="F6" s="39"/>
      <c r="G6" s="40" t="n">
        <f aca="false">IF(C6="","",IF(F6&lt;&gt;"",(F6-C6)/C6,IF(E6&lt;&gt;"",(E6-C6)/C6,IF(D6&lt;&gt;"",(D6-C6)/C6,""))))</f>
        <v>0.0847457627118644</v>
      </c>
      <c r="H6" s="19"/>
    </row>
    <row r="7" customFormat="false" ht="15" hidden="false" customHeight="false" outlineLevel="0" collapsed="false">
      <c r="A7" s="19" t="s">
        <v>74</v>
      </c>
      <c r="B7" s="20" t="s">
        <v>75</v>
      </c>
      <c r="C7" s="39"/>
      <c r="D7" s="39"/>
      <c r="E7" s="39"/>
      <c r="F7" s="39"/>
      <c r="G7" s="40" t="str">
        <f aca="false">IF(C7="","",IF(F7&lt;&gt;"",(F7-C7)/C7,IF(E7&lt;&gt;"",(E7-C7)/C7,IF(D7&lt;&gt;"",(D7-C7)/C7,""))))</f>
        <v/>
      </c>
      <c r="H7" s="19"/>
    </row>
    <row r="8" customFormat="false" ht="15" hidden="false" customHeight="false" outlineLevel="0" collapsed="false">
      <c r="A8" s="19" t="s">
        <v>76</v>
      </c>
      <c r="B8" s="20" t="s">
        <v>75</v>
      </c>
      <c r="C8" s="39"/>
      <c r="D8" s="39"/>
      <c r="E8" s="39"/>
      <c r="F8" s="39"/>
      <c r="G8" s="40" t="str">
        <f aca="false">IF(C8="","",IF(F8&lt;&gt;"",(F8-C8)/C8,IF(E8&lt;&gt;"",(E8-C8)/C8,IF(D8&lt;&gt;"",(D8-C8)/C8,""))))</f>
        <v/>
      </c>
      <c r="H8" s="19"/>
    </row>
    <row r="9" customFormat="false" ht="15" hidden="false" customHeight="false" outlineLevel="0" collapsed="false">
      <c r="A9" s="19" t="s">
        <v>77</v>
      </c>
      <c r="B9" s="20" t="s">
        <v>75</v>
      </c>
      <c r="C9" s="39"/>
      <c r="D9" s="39"/>
      <c r="E9" s="39"/>
      <c r="F9" s="39"/>
      <c r="G9" s="40" t="str">
        <f aca="false">IF(C9="","",IF(F9&lt;&gt;"",(F9-C9)/C9,IF(E9&lt;&gt;"",(E9-C9)/C9,IF(D9&lt;&gt;"",(D9-C9)/C9,""))))</f>
        <v/>
      </c>
      <c r="H9" s="19"/>
    </row>
    <row r="10" customFormat="false" ht="15" hidden="false" customHeight="false" outlineLevel="0" collapsed="false">
      <c r="A10" s="19" t="s">
        <v>78</v>
      </c>
      <c r="B10" s="20" t="s">
        <v>79</v>
      </c>
      <c r="C10" s="39"/>
      <c r="D10" s="39"/>
      <c r="E10" s="39"/>
      <c r="F10" s="39"/>
      <c r="G10" s="40" t="str">
        <f aca="false">IF(C10="","",IF(F10&lt;&gt;"",(F10-C10)/C10,IF(E10&lt;&gt;"",(E10-C10)/C10,IF(D10&lt;&gt;"",(D10-C10)/C10,""))))</f>
        <v/>
      </c>
      <c r="H10" s="19"/>
    </row>
    <row r="11" customFormat="false" ht="15" hidden="false" customHeight="false" outlineLevel="0" collapsed="false">
      <c r="A11" s="19" t="s">
        <v>80</v>
      </c>
      <c r="B11" s="20" t="s">
        <v>81</v>
      </c>
      <c r="C11" s="39"/>
      <c r="D11" s="39"/>
      <c r="E11" s="39"/>
      <c r="F11" s="39"/>
      <c r="G11" s="40" t="str">
        <f aca="false">IF(C11="","",IF(F11&lt;&gt;"",(F11-C11)/C11,IF(E11&lt;&gt;"",(E11-C11)/C11,IF(D11&lt;&gt;"",(D11-C11)/C11,""))))</f>
        <v/>
      </c>
      <c r="H11" s="19"/>
    </row>
    <row r="12" customFormat="false" ht="15" hidden="false" customHeight="false" outlineLevel="0" collapsed="false">
      <c r="A12" s="19" t="s">
        <v>82</v>
      </c>
      <c r="B12" s="20" t="s">
        <v>75</v>
      </c>
      <c r="C12" s="39"/>
      <c r="D12" s="39"/>
      <c r="E12" s="39"/>
      <c r="F12" s="39"/>
      <c r="G12" s="40" t="str">
        <f aca="false">IF(C12="","",IF(F12&lt;&gt;"",(F12-C12)/C12,IF(E12&lt;&gt;"",(E12-C12)/C12,IF(D12&lt;&gt;"",(D12-C12)/C12,""))))</f>
        <v/>
      </c>
      <c r="H12" s="19"/>
    </row>
    <row r="13" customFormat="false" ht="15" hidden="false" customHeight="false" outlineLevel="0" collapsed="false">
      <c r="A13" s="19"/>
      <c r="B13" s="20"/>
      <c r="C13" s="39"/>
      <c r="D13" s="39"/>
      <c r="E13" s="39"/>
      <c r="F13" s="39"/>
      <c r="G13" s="40" t="str">
        <f aca="false">IF(C13="","",IF(F13&lt;&gt;"",(F13-C13)/C13,IF(E13&lt;&gt;"",(E13-C13)/C13,IF(D13&lt;&gt;"",(D13-C13)/C13,""))))</f>
        <v/>
      </c>
      <c r="H13" s="19"/>
    </row>
    <row r="14" customFormat="false" ht="15" hidden="false" customHeight="false" outlineLevel="0" collapsed="false">
      <c r="A14" s="19"/>
      <c r="B14" s="20"/>
      <c r="C14" s="39"/>
      <c r="D14" s="39"/>
      <c r="E14" s="39"/>
      <c r="F14" s="39"/>
      <c r="G14" s="40" t="str">
        <f aca="false">IF(C14="","",IF(F14&lt;&gt;"",(F14-C14)/C14,IF(E14&lt;&gt;"",(E14-C14)/C14,IF(D14&lt;&gt;"",(D14-C14)/C14,""))))</f>
        <v/>
      </c>
      <c r="H14" s="19"/>
    </row>
    <row r="15" customFormat="false" ht="15" hidden="false" customHeight="false" outlineLevel="0" collapsed="false">
      <c r="A15" s="19"/>
      <c r="B15" s="20"/>
      <c r="C15" s="39"/>
      <c r="D15" s="39"/>
      <c r="E15" s="39"/>
      <c r="F15" s="39"/>
      <c r="G15" s="40" t="str">
        <f aca="false">IF(C15="","",IF(F15&lt;&gt;"",(F15-C15)/C15,IF(E15&lt;&gt;"",(E15-C15)/C15,IF(D15&lt;&gt;"",(D15-C15)/C15,""))))</f>
        <v/>
      </c>
      <c r="H15" s="19"/>
    </row>
    <row r="16" customFormat="false" ht="15" hidden="false" customHeight="false" outlineLevel="0" collapsed="false">
      <c r="A16" s="19"/>
      <c r="B16" s="20"/>
      <c r="C16" s="39"/>
      <c r="D16" s="39"/>
      <c r="E16" s="39"/>
      <c r="F16" s="39"/>
      <c r="G16" s="40" t="str">
        <f aca="false">IF(C16="","",IF(F16&lt;&gt;"",(F16-C16)/C16,IF(E16&lt;&gt;"",(E16-C16)/C16,IF(D16&lt;&gt;"",(D16-C16)/C16,""))))</f>
        <v/>
      </c>
      <c r="H16" s="19"/>
    </row>
    <row r="17" customFormat="false" ht="15" hidden="false" customHeight="false" outlineLevel="0" collapsed="false">
      <c r="A17" s="19"/>
      <c r="B17" s="20"/>
      <c r="C17" s="39"/>
      <c r="D17" s="39"/>
      <c r="E17" s="39"/>
      <c r="F17" s="39"/>
      <c r="G17" s="40" t="str">
        <f aca="false">IF(C17="","",IF(F17&lt;&gt;"",(F17-C17)/C17,IF(E17&lt;&gt;"",(E17-C17)/C17,IF(D17&lt;&gt;"",(D17-C17)/C17,""))))</f>
        <v/>
      </c>
      <c r="H17" s="19"/>
    </row>
    <row r="18" customFormat="false" ht="15" hidden="false" customHeight="false" outlineLevel="0" collapsed="false">
      <c r="A18" s="19"/>
      <c r="B18" s="20"/>
      <c r="C18" s="39"/>
      <c r="D18" s="39"/>
      <c r="E18" s="39"/>
      <c r="F18" s="39"/>
      <c r="G18" s="40" t="str">
        <f aca="false">IF(C18="","",IF(F18&lt;&gt;"",(F18-C18)/C18,IF(E18&lt;&gt;"",(E18-C18)/C18,IF(D18&lt;&gt;"",(D18-C18)/C18,""))))</f>
        <v/>
      </c>
      <c r="H18" s="19"/>
    </row>
    <row r="19" customFormat="false" ht="15" hidden="false" customHeight="false" outlineLevel="0" collapsed="false">
      <c r="A19" s="19"/>
      <c r="B19" s="20"/>
      <c r="C19" s="39"/>
      <c r="D19" s="39"/>
      <c r="E19" s="39"/>
      <c r="F19" s="39"/>
      <c r="G19" s="40" t="str">
        <f aca="false">IF(C19="","",IF(F19&lt;&gt;"",(F19-C19)/C19,IF(E19&lt;&gt;"",(E19-C19)/C19,IF(D19&lt;&gt;"",(D19-C19)/C19,""))))</f>
        <v/>
      </c>
      <c r="H19" s="19"/>
    </row>
    <row r="20" customFormat="false" ht="15" hidden="false" customHeight="false" outlineLevel="0" collapsed="false">
      <c r="A20" s="19"/>
      <c r="B20" s="20"/>
      <c r="C20" s="39"/>
      <c r="D20" s="39"/>
      <c r="E20" s="39"/>
      <c r="F20" s="39"/>
      <c r="G20" s="40" t="str">
        <f aca="false">IF(C20="","",IF(F20&lt;&gt;"",(F20-C20)/C20,IF(E20&lt;&gt;"",(E20-C20)/C20,IF(D20&lt;&gt;"",(D20-C20)/C20,""))))</f>
        <v/>
      </c>
      <c r="H20" s="19"/>
    </row>
    <row r="21" customFormat="false" ht="15" hidden="false" customHeight="false" outlineLevel="0" collapsed="false">
      <c r="A21" s="19"/>
      <c r="B21" s="20"/>
      <c r="C21" s="39"/>
      <c r="D21" s="39"/>
      <c r="E21" s="39"/>
      <c r="F21" s="39"/>
      <c r="G21" s="40" t="str">
        <f aca="false">IF(C21="","",IF(F21&lt;&gt;"",(F21-C21)/C21,IF(E21&lt;&gt;"",(E21-C21)/C21,IF(D21&lt;&gt;"",(D21-C21)/C21,""))))</f>
        <v/>
      </c>
      <c r="H21" s="19"/>
    </row>
    <row r="22" customFormat="false" ht="15" hidden="false" customHeight="false" outlineLevel="0" collapsed="false">
      <c r="A22" s="19"/>
      <c r="B22" s="20"/>
      <c r="C22" s="39"/>
      <c r="D22" s="39"/>
      <c r="E22" s="39"/>
      <c r="F22" s="39"/>
      <c r="G22" s="40" t="str">
        <f aca="false">IF(C22="","",IF(F22&lt;&gt;"",(F22-C22)/C22,IF(E22&lt;&gt;"",(E22-C22)/C22,IF(D22&lt;&gt;"",(D22-C22)/C22,""))))</f>
        <v/>
      </c>
      <c r="H22" s="19"/>
    </row>
    <row r="23" customFormat="false" ht="15" hidden="false" customHeight="false" outlineLevel="0" collapsed="false">
      <c r="A23" s="19"/>
      <c r="B23" s="20"/>
      <c r="C23" s="39"/>
      <c r="D23" s="39"/>
      <c r="E23" s="39"/>
      <c r="F23" s="39"/>
      <c r="G23" s="40" t="str">
        <f aca="false">IF(C23="","",IF(F23&lt;&gt;"",(F23-C23)/C23,IF(E23&lt;&gt;"",(E23-C23)/C23,IF(D23&lt;&gt;"",(D23-C23)/C23,""))))</f>
        <v/>
      </c>
      <c r="H23" s="19"/>
    </row>
    <row r="24" customFormat="false" ht="15" hidden="false" customHeight="false" outlineLevel="0" collapsed="false">
      <c r="A24" s="19"/>
      <c r="B24" s="20"/>
      <c r="C24" s="39"/>
      <c r="D24" s="39"/>
      <c r="E24" s="39"/>
      <c r="F24" s="39"/>
      <c r="G24" s="40" t="str">
        <f aca="false">IF(C24="","",IF(F24&lt;&gt;"",(F24-C24)/C24,IF(E24&lt;&gt;"",(E24-C24)/C24,IF(D24&lt;&gt;"",(D24-C24)/C24,""))))</f>
        <v/>
      </c>
      <c r="H24" s="19"/>
    </row>
    <row r="25" customFormat="false" ht="15" hidden="false" customHeight="false" outlineLevel="0" collapsed="false">
      <c r="A25" s="19"/>
      <c r="B25" s="20"/>
      <c r="C25" s="39"/>
      <c r="D25" s="39"/>
      <c r="E25" s="39"/>
      <c r="F25" s="39"/>
      <c r="G25" s="40" t="str">
        <f aca="false">IF(C25="","",IF(F25&lt;&gt;"",(F25-C25)/C25,IF(E25&lt;&gt;"",(E25-C25)/C25,IF(D25&lt;&gt;"",(D25-C25)/C25,""))))</f>
        <v/>
      </c>
      <c r="H25" s="19"/>
    </row>
  </sheetData>
  <mergeCells count="2">
    <mergeCell ref="A1:H1"/>
    <mergeCell ref="A2:H2"/>
  </mergeCells>
  <conditionalFormatting sqref="G6:G25">
    <cfRule type="cellIs" priority="2" operator="greaterThan" aboveAverage="0" equalAverage="0" bottom="0" percent="0" rank="0" text="" dxfId="2">
      <formula>0</formula>
    </cfRule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11" t="s">
        <v>85</v>
      </c>
      <c r="B4" s="11"/>
      <c r="C4" s="11" t="s">
        <v>86</v>
      </c>
      <c r="D4" s="11"/>
      <c r="E4" s="11" t="s">
        <v>87</v>
      </c>
      <c r="F4" s="11"/>
    </row>
    <row r="5" customFormat="false" ht="21.75" hidden="false" customHeight="true" outlineLevel="0" collapsed="false">
      <c r="A5" s="12" t="n">
        <f aca="false">SUM(H7:H206)</f>
        <v>205.218409133526</v>
      </c>
      <c r="B5" s="12"/>
      <c r="C5" s="41" t="n">
        <f aca="false">SUM(H7:H206)*Listes!$D$5</f>
        <v>134614.452</v>
      </c>
      <c r="D5" s="41"/>
      <c r="E5" s="42" t="n">
        <f aca="false">SUM(E7:E206)</f>
        <v>122</v>
      </c>
      <c r="F5" s="42"/>
    </row>
    <row r="6" customFormat="false" ht="25.5" hidden="false" customHeight="true" outlineLevel="0" collapsed="false">
      <c r="A6" s="17" t="s">
        <v>23</v>
      </c>
      <c r="B6" s="17" t="s">
        <v>22</v>
      </c>
      <c r="C6" s="17" t="s">
        <v>88</v>
      </c>
      <c r="D6" s="17" t="s">
        <v>89</v>
      </c>
      <c r="E6" s="17" t="s">
        <v>90</v>
      </c>
      <c r="F6" s="17" t="s">
        <v>91</v>
      </c>
      <c r="G6" s="17" t="s">
        <v>92</v>
      </c>
      <c r="H6" s="17" t="s">
        <v>93</v>
      </c>
      <c r="I6" s="17" t="s">
        <v>94</v>
      </c>
      <c r="J6" s="17" t="s">
        <v>71</v>
      </c>
    </row>
    <row r="7" customFormat="false" ht="15" hidden="false" customHeight="false" outlineLevel="0" collapsed="false">
      <c r="A7" s="19" t="s">
        <v>32</v>
      </c>
      <c r="B7" s="18" t="n">
        <v>46011</v>
      </c>
      <c r="C7" s="19" t="s">
        <v>95</v>
      </c>
      <c r="D7" s="19" t="s">
        <v>74</v>
      </c>
      <c r="E7" s="43" t="n">
        <v>100</v>
      </c>
      <c r="F7" s="21"/>
      <c r="G7" s="22" t="n">
        <v>330</v>
      </c>
      <c r="H7" s="24" t="n">
        <f aca="false">IF(OR(E7="",AND(F7="",G7="")),"",E7*IF(F7&lt;&gt;"",F7,G7/Listes!$D$5))</f>
        <v>50.3081756883454</v>
      </c>
      <c r="I7" s="28" t="n">
        <f aca="false">IF(H7="","",H7*Listes!$D$5)</f>
        <v>33000</v>
      </c>
      <c r="J7" s="19"/>
    </row>
    <row r="8" customFormat="false" ht="15" hidden="false" customHeight="false" outlineLevel="0" collapsed="false">
      <c r="A8" s="19" t="s">
        <v>32</v>
      </c>
      <c r="B8" s="18" t="n">
        <v>46011</v>
      </c>
      <c r="C8" s="19" t="s">
        <v>95</v>
      </c>
      <c r="D8" s="19" t="s">
        <v>72</v>
      </c>
      <c r="E8" s="43" t="n">
        <v>2</v>
      </c>
      <c r="F8" s="21" t="n">
        <v>18</v>
      </c>
      <c r="G8" s="22"/>
      <c r="H8" s="24" t="n">
        <f aca="false">IF(OR(E8="",AND(F8="",G8="")),"",E8*IF(F8&lt;&gt;"",F8,G8/Listes!$D$5))</f>
        <v>36</v>
      </c>
      <c r="I8" s="28" t="n">
        <f aca="false">IF(H8="","",H8*Listes!$D$5)</f>
        <v>23614.452</v>
      </c>
      <c r="J8" s="19"/>
    </row>
    <row r="9" customFormat="false" ht="15" hidden="false" customHeight="false" outlineLevel="0" collapsed="false">
      <c r="A9" s="19" t="s">
        <v>32</v>
      </c>
      <c r="B9" s="18" t="n">
        <v>46011</v>
      </c>
      <c r="C9" s="19" t="s">
        <v>95</v>
      </c>
      <c r="D9" s="19" t="s">
        <v>77</v>
      </c>
      <c r="E9" s="43" t="n">
        <v>20</v>
      </c>
      <c r="F9" s="21"/>
      <c r="G9" s="22" t="n">
        <v>3900</v>
      </c>
      <c r="H9" s="24" t="n">
        <f aca="false">IF(OR(E9="",AND(F9="",G9="")),"",E9*IF(F9&lt;&gt;"",F9,G9/Listes!$D$5))</f>
        <v>118.91023344518</v>
      </c>
      <c r="I9" s="28" t="n">
        <f aca="false">IF(H9="","",H9*Listes!$D$5)</f>
        <v>78000</v>
      </c>
      <c r="J9" s="19"/>
    </row>
    <row r="10" customFormat="false" ht="15" hidden="false" customHeight="false" outlineLevel="0" collapsed="false">
      <c r="A10" s="19"/>
      <c r="B10" s="18"/>
      <c r="C10" s="19"/>
      <c r="D10" s="19"/>
      <c r="E10" s="43"/>
      <c r="F10" s="21"/>
      <c r="G10" s="22"/>
      <c r="H10" s="24" t="str">
        <f aca="false">IF(OR(E10="",AND(F10="",G10="")),"",E10*IF(F10&lt;&gt;"",F10,G10/Listes!$D$5))</f>
        <v/>
      </c>
      <c r="I10" s="28" t="str">
        <f aca="false">IF(H10="","",H10*Listes!$D$5)</f>
        <v/>
      </c>
      <c r="J10" s="19"/>
    </row>
    <row r="11" customFormat="false" ht="15" hidden="false" customHeight="false" outlineLevel="0" collapsed="false">
      <c r="A11" s="19"/>
      <c r="B11" s="18"/>
      <c r="C11" s="19"/>
      <c r="D11" s="19"/>
      <c r="E11" s="43"/>
      <c r="F11" s="21"/>
      <c r="G11" s="22"/>
      <c r="H11" s="24" t="str">
        <f aca="false">IF(OR(E11="",AND(F11="",G11="")),"",E11*IF(F11&lt;&gt;"",F11,G11/Listes!$D$5))</f>
        <v/>
      </c>
      <c r="I11" s="28" t="str">
        <f aca="false">IF(H11="","",H11*Listes!$D$5)</f>
        <v/>
      </c>
      <c r="J11" s="19"/>
    </row>
    <row r="12" customFormat="false" ht="15" hidden="false" customHeight="false" outlineLevel="0" collapsed="false">
      <c r="A12" s="19"/>
      <c r="B12" s="18"/>
      <c r="C12" s="19"/>
      <c r="D12" s="19"/>
      <c r="E12" s="43"/>
      <c r="F12" s="21"/>
      <c r="G12" s="22"/>
      <c r="H12" s="24" t="str">
        <f aca="false">IF(OR(E12="",AND(F12="",G12="")),"",E12*IF(F12&lt;&gt;"",F12,G12/Listes!$D$5))</f>
        <v/>
      </c>
      <c r="I12" s="28" t="str">
        <f aca="false">IF(H12="","",H12*Listes!$D$5)</f>
        <v/>
      </c>
      <c r="J12" s="19"/>
    </row>
    <row r="13" customFormat="false" ht="15" hidden="false" customHeight="false" outlineLevel="0" collapsed="false">
      <c r="A13" s="19"/>
      <c r="B13" s="18"/>
      <c r="C13" s="19"/>
      <c r="D13" s="19"/>
      <c r="E13" s="43"/>
      <c r="F13" s="21"/>
      <c r="G13" s="22"/>
      <c r="H13" s="24" t="str">
        <f aca="false">IF(OR(E13="",AND(F13="",G13="")),"",E13*IF(F13&lt;&gt;"",F13,G13/Listes!$D$5))</f>
        <v/>
      </c>
      <c r="I13" s="28" t="str">
        <f aca="false">IF(H13="","",H13*Listes!$D$5)</f>
        <v/>
      </c>
      <c r="J13" s="19"/>
    </row>
    <row r="14" customFormat="false" ht="15" hidden="false" customHeight="false" outlineLevel="0" collapsed="false">
      <c r="A14" s="19"/>
      <c r="B14" s="18"/>
      <c r="C14" s="19"/>
      <c r="D14" s="19"/>
      <c r="E14" s="43"/>
      <c r="F14" s="21"/>
      <c r="G14" s="22"/>
      <c r="H14" s="24" t="str">
        <f aca="false">IF(OR(E14="",AND(F14="",G14="")),"",E14*IF(F14&lt;&gt;"",F14,G14/Listes!$D$5))</f>
        <v/>
      </c>
      <c r="I14" s="28" t="str">
        <f aca="false">IF(H14="","",H14*Listes!$D$5)</f>
        <v/>
      </c>
      <c r="J14" s="19"/>
    </row>
    <row r="15" customFormat="false" ht="15" hidden="false" customHeight="false" outlineLevel="0" collapsed="false">
      <c r="A15" s="19"/>
      <c r="B15" s="18"/>
      <c r="C15" s="19"/>
      <c r="D15" s="19"/>
      <c r="E15" s="43"/>
      <c r="F15" s="21"/>
      <c r="G15" s="22"/>
      <c r="H15" s="24" t="str">
        <f aca="false">IF(OR(E15="",AND(F15="",G15="")),"",E15*IF(F15&lt;&gt;"",F15,G15/Listes!$D$5))</f>
        <v/>
      </c>
      <c r="I15" s="28" t="str">
        <f aca="false">IF(H15="","",H15*Listes!$D$5)</f>
        <v/>
      </c>
      <c r="J15" s="19"/>
    </row>
    <row r="16" customFormat="false" ht="15" hidden="false" customHeight="false" outlineLevel="0" collapsed="false">
      <c r="A16" s="19"/>
      <c r="B16" s="18"/>
      <c r="C16" s="19"/>
      <c r="D16" s="19"/>
      <c r="E16" s="43"/>
      <c r="F16" s="21"/>
      <c r="G16" s="22"/>
      <c r="H16" s="24" t="str">
        <f aca="false">IF(OR(E16="",AND(F16="",G16="")),"",E16*IF(F16&lt;&gt;"",F16,G16/Listes!$D$5))</f>
        <v/>
      </c>
      <c r="I16" s="28" t="str">
        <f aca="false">IF(H16="","",H16*Listes!$D$5)</f>
        <v/>
      </c>
      <c r="J16" s="19"/>
    </row>
    <row r="17" customFormat="false" ht="15" hidden="false" customHeight="false" outlineLevel="0" collapsed="false">
      <c r="A17" s="19"/>
      <c r="B17" s="18"/>
      <c r="C17" s="19"/>
      <c r="D17" s="19"/>
      <c r="E17" s="43"/>
      <c r="F17" s="21"/>
      <c r="G17" s="22"/>
      <c r="H17" s="24" t="str">
        <f aca="false">IF(OR(E17="",AND(F17="",G17="")),"",E17*IF(F17&lt;&gt;"",F17,G17/Listes!$D$5))</f>
        <v/>
      </c>
      <c r="I17" s="28" t="str">
        <f aca="false">IF(H17="","",H17*Listes!$D$5)</f>
        <v/>
      </c>
      <c r="J17" s="19"/>
    </row>
    <row r="18" customFormat="false" ht="15" hidden="false" customHeight="false" outlineLevel="0" collapsed="false">
      <c r="A18" s="19"/>
      <c r="B18" s="18"/>
      <c r="C18" s="19"/>
      <c r="D18" s="19"/>
      <c r="E18" s="43"/>
      <c r="F18" s="21"/>
      <c r="G18" s="22"/>
      <c r="H18" s="24" t="str">
        <f aca="false">IF(OR(E18="",AND(F18="",G18="")),"",E18*IF(F18&lt;&gt;"",F18,G18/Listes!$D$5))</f>
        <v/>
      </c>
      <c r="I18" s="28" t="str">
        <f aca="false">IF(H18="","",H18*Listes!$D$5)</f>
        <v/>
      </c>
      <c r="J18" s="19"/>
    </row>
    <row r="19" customFormat="false" ht="15" hidden="false" customHeight="false" outlineLevel="0" collapsed="false">
      <c r="A19" s="19"/>
      <c r="B19" s="18"/>
      <c r="C19" s="19"/>
      <c r="D19" s="19"/>
      <c r="E19" s="43"/>
      <c r="F19" s="21"/>
      <c r="G19" s="22"/>
      <c r="H19" s="24" t="str">
        <f aca="false">IF(OR(E19="",AND(F19="",G19="")),"",E19*IF(F19&lt;&gt;"",F19,G19/Listes!$D$5))</f>
        <v/>
      </c>
      <c r="I19" s="28" t="str">
        <f aca="false">IF(H19="","",H19*Listes!$D$5)</f>
        <v/>
      </c>
      <c r="J19" s="19"/>
    </row>
    <row r="20" customFormat="false" ht="15" hidden="false" customHeight="false" outlineLevel="0" collapsed="false">
      <c r="A20" s="19"/>
      <c r="B20" s="18"/>
      <c r="C20" s="19"/>
      <c r="D20" s="19"/>
      <c r="E20" s="43"/>
      <c r="F20" s="21"/>
      <c r="G20" s="22"/>
      <c r="H20" s="24" t="str">
        <f aca="false">IF(OR(E20="",AND(F20="",G20="")),"",E20*IF(F20&lt;&gt;"",F20,G20/Listes!$D$5))</f>
        <v/>
      </c>
      <c r="I20" s="28" t="str">
        <f aca="false">IF(H20="","",H20*Listes!$D$5)</f>
        <v/>
      </c>
      <c r="J20" s="19"/>
    </row>
    <row r="21" customFormat="false" ht="15" hidden="false" customHeight="false" outlineLevel="0" collapsed="false">
      <c r="A21" s="19"/>
      <c r="B21" s="18"/>
      <c r="C21" s="19"/>
      <c r="D21" s="19"/>
      <c r="E21" s="43"/>
      <c r="F21" s="21"/>
      <c r="G21" s="22"/>
      <c r="H21" s="24" t="str">
        <f aca="false">IF(OR(E21="",AND(F21="",G21="")),"",E21*IF(F21&lt;&gt;"",F21,G21/Listes!$D$5))</f>
        <v/>
      </c>
      <c r="I21" s="28" t="str">
        <f aca="false">IF(H21="","",H21*Listes!$D$5)</f>
        <v/>
      </c>
      <c r="J21" s="19"/>
    </row>
    <row r="22" customFormat="false" ht="15" hidden="false" customHeight="false" outlineLevel="0" collapsed="false">
      <c r="A22" s="19"/>
      <c r="B22" s="18"/>
      <c r="C22" s="19"/>
      <c r="D22" s="19"/>
      <c r="E22" s="43"/>
      <c r="F22" s="21"/>
      <c r="G22" s="22"/>
      <c r="H22" s="24" t="str">
        <f aca="false">IF(OR(E22="",AND(F22="",G22="")),"",E22*IF(F22&lt;&gt;"",F22,G22/Listes!$D$5))</f>
        <v/>
      </c>
      <c r="I22" s="28" t="str">
        <f aca="false">IF(H22="","",H22*Listes!$D$5)</f>
        <v/>
      </c>
      <c r="J22" s="19"/>
    </row>
    <row r="23" customFormat="false" ht="15" hidden="false" customHeight="false" outlineLevel="0" collapsed="false">
      <c r="A23" s="19"/>
      <c r="B23" s="18"/>
      <c r="C23" s="19"/>
      <c r="D23" s="19"/>
      <c r="E23" s="43"/>
      <c r="F23" s="21"/>
      <c r="G23" s="22"/>
      <c r="H23" s="24" t="str">
        <f aca="false">IF(OR(E23="",AND(F23="",G23="")),"",E23*IF(F23&lt;&gt;"",F23,G23/Listes!$D$5))</f>
        <v/>
      </c>
      <c r="I23" s="28" t="str">
        <f aca="false">IF(H23="","",H23*Listes!$D$5)</f>
        <v/>
      </c>
      <c r="J23" s="19"/>
    </row>
    <row r="24" customFormat="false" ht="15" hidden="false" customHeight="false" outlineLevel="0" collapsed="false">
      <c r="A24" s="19"/>
      <c r="B24" s="18"/>
      <c r="C24" s="19"/>
      <c r="D24" s="19"/>
      <c r="E24" s="43"/>
      <c r="F24" s="21"/>
      <c r="G24" s="22"/>
      <c r="H24" s="24" t="str">
        <f aca="false">IF(OR(E24="",AND(F24="",G24="")),"",E24*IF(F24&lt;&gt;"",F24,G24/Listes!$D$5))</f>
        <v/>
      </c>
      <c r="I24" s="28" t="str">
        <f aca="false">IF(H24="","",H24*Listes!$D$5)</f>
        <v/>
      </c>
      <c r="J24" s="19"/>
    </row>
    <row r="25" customFormat="false" ht="15" hidden="false" customHeight="false" outlineLevel="0" collapsed="false">
      <c r="A25" s="19"/>
      <c r="B25" s="18"/>
      <c r="C25" s="19"/>
      <c r="D25" s="19"/>
      <c r="E25" s="43"/>
      <c r="F25" s="21"/>
      <c r="G25" s="22"/>
      <c r="H25" s="24" t="str">
        <f aca="false">IF(OR(E25="",AND(F25="",G25="")),"",E25*IF(F25&lt;&gt;"",F25,G25/Listes!$D$5))</f>
        <v/>
      </c>
      <c r="I25" s="28" t="str">
        <f aca="false">IF(H25="","",H25*Listes!$D$5)</f>
        <v/>
      </c>
      <c r="J25" s="19"/>
    </row>
    <row r="26" customFormat="false" ht="15" hidden="false" customHeight="false" outlineLevel="0" collapsed="false">
      <c r="A26" s="19"/>
      <c r="B26" s="18"/>
      <c r="C26" s="19"/>
      <c r="D26" s="19"/>
      <c r="E26" s="43"/>
      <c r="F26" s="21"/>
      <c r="G26" s="22"/>
      <c r="H26" s="24" t="str">
        <f aca="false">IF(OR(E26="",AND(F26="",G26="")),"",E26*IF(F26&lt;&gt;"",F26,G26/Listes!$D$5))</f>
        <v/>
      </c>
      <c r="I26" s="28" t="str">
        <f aca="false">IF(H26="","",H26*Listes!$D$5)</f>
        <v/>
      </c>
      <c r="J26" s="19"/>
    </row>
    <row r="27" customFormat="false" ht="15" hidden="false" customHeight="false" outlineLevel="0" collapsed="false">
      <c r="A27" s="19"/>
      <c r="B27" s="18"/>
      <c r="C27" s="19"/>
      <c r="D27" s="19"/>
      <c r="E27" s="43"/>
      <c r="F27" s="21"/>
      <c r="G27" s="22"/>
      <c r="H27" s="24" t="str">
        <f aca="false">IF(OR(E27="",AND(F27="",G27="")),"",E27*IF(F27&lt;&gt;"",F27,G27/Listes!$D$5))</f>
        <v/>
      </c>
      <c r="I27" s="28" t="str">
        <f aca="false">IF(H27="","",H27*Listes!$D$5)</f>
        <v/>
      </c>
      <c r="J27" s="19"/>
    </row>
    <row r="28" customFormat="false" ht="15" hidden="false" customHeight="false" outlineLevel="0" collapsed="false">
      <c r="A28" s="19"/>
      <c r="B28" s="18"/>
      <c r="C28" s="19"/>
      <c r="D28" s="19"/>
      <c r="E28" s="43"/>
      <c r="F28" s="21"/>
      <c r="G28" s="22"/>
      <c r="H28" s="24" t="str">
        <f aca="false">IF(OR(E28="",AND(F28="",G28="")),"",E28*IF(F28&lt;&gt;"",F28,G28/Listes!$D$5))</f>
        <v/>
      </c>
      <c r="I28" s="28" t="str">
        <f aca="false">IF(H28="","",H28*Listes!$D$5)</f>
        <v/>
      </c>
      <c r="J28" s="19"/>
    </row>
    <row r="29" customFormat="false" ht="15" hidden="false" customHeight="false" outlineLevel="0" collapsed="false">
      <c r="A29" s="19"/>
      <c r="B29" s="18"/>
      <c r="C29" s="19"/>
      <c r="D29" s="19"/>
      <c r="E29" s="43"/>
      <c r="F29" s="21"/>
      <c r="G29" s="22"/>
      <c r="H29" s="24" t="str">
        <f aca="false">IF(OR(E29="",AND(F29="",G29="")),"",E29*IF(F29&lt;&gt;"",F29,G29/Listes!$D$5))</f>
        <v/>
      </c>
      <c r="I29" s="28" t="str">
        <f aca="false">IF(H29="","",H29*Listes!$D$5)</f>
        <v/>
      </c>
      <c r="J29" s="19"/>
    </row>
    <row r="30" customFormat="false" ht="15" hidden="false" customHeight="false" outlineLevel="0" collapsed="false">
      <c r="A30" s="19"/>
      <c r="B30" s="18"/>
      <c r="C30" s="19"/>
      <c r="D30" s="19"/>
      <c r="E30" s="43"/>
      <c r="F30" s="21"/>
      <c r="G30" s="22"/>
      <c r="H30" s="24" t="str">
        <f aca="false">IF(OR(E30="",AND(F30="",G30="")),"",E30*IF(F30&lt;&gt;"",F30,G30/Listes!$D$5))</f>
        <v/>
      </c>
      <c r="I30" s="28" t="str">
        <f aca="false">IF(H30="","",H30*Listes!$D$5)</f>
        <v/>
      </c>
      <c r="J30" s="19"/>
    </row>
    <row r="31" customFormat="false" ht="15" hidden="false" customHeight="false" outlineLevel="0" collapsed="false">
      <c r="A31" s="19"/>
      <c r="B31" s="18"/>
      <c r="C31" s="19"/>
      <c r="D31" s="19"/>
      <c r="E31" s="43"/>
      <c r="F31" s="21"/>
      <c r="G31" s="22"/>
      <c r="H31" s="24" t="str">
        <f aca="false">IF(OR(E31="",AND(F31="",G31="")),"",E31*IF(F31&lt;&gt;"",F31,G31/Listes!$D$5))</f>
        <v/>
      </c>
      <c r="I31" s="28" t="str">
        <f aca="false">IF(H31="","",H31*Listes!$D$5)</f>
        <v/>
      </c>
      <c r="J31" s="19"/>
    </row>
    <row r="32" customFormat="false" ht="15" hidden="false" customHeight="false" outlineLevel="0" collapsed="false">
      <c r="A32" s="19"/>
      <c r="B32" s="18"/>
      <c r="C32" s="19"/>
      <c r="D32" s="19"/>
      <c r="E32" s="43"/>
      <c r="F32" s="21"/>
      <c r="G32" s="22"/>
      <c r="H32" s="24" t="str">
        <f aca="false">IF(OR(E32="",AND(F32="",G32="")),"",E32*IF(F32&lt;&gt;"",F32,G32/Listes!$D$5))</f>
        <v/>
      </c>
      <c r="I32" s="28" t="str">
        <f aca="false">IF(H32="","",H32*Listes!$D$5)</f>
        <v/>
      </c>
      <c r="J32" s="19"/>
    </row>
    <row r="33" customFormat="false" ht="15" hidden="false" customHeight="false" outlineLevel="0" collapsed="false">
      <c r="A33" s="19"/>
      <c r="B33" s="18"/>
      <c r="C33" s="19"/>
      <c r="D33" s="19"/>
      <c r="E33" s="43"/>
      <c r="F33" s="21"/>
      <c r="G33" s="22"/>
      <c r="H33" s="24" t="str">
        <f aca="false">IF(OR(E33="",AND(F33="",G33="")),"",E33*IF(F33&lt;&gt;"",F33,G33/Listes!$D$5))</f>
        <v/>
      </c>
      <c r="I33" s="28" t="str">
        <f aca="false">IF(H33="","",H33*Listes!$D$5)</f>
        <v/>
      </c>
      <c r="J33" s="19"/>
    </row>
    <row r="34" customFormat="false" ht="15" hidden="false" customHeight="false" outlineLevel="0" collapsed="false">
      <c r="A34" s="19"/>
      <c r="B34" s="18"/>
      <c r="C34" s="19"/>
      <c r="D34" s="19"/>
      <c r="E34" s="43"/>
      <c r="F34" s="21"/>
      <c r="G34" s="22"/>
      <c r="H34" s="24" t="str">
        <f aca="false">IF(OR(E34="",AND(F34="",G34="")),"",E34*IF(F34&lt;&gt;"",F34,G34/Listes!$D$5))</f>
        <v/>
      </c>
      <c r="I34" s="28" t="str">
        <f aca="false">IF(H34="","",H34*Listes!$D$5)</f>
        <v/>
      </c>
      <c r="J34" s="19"/>
    </row>
    <row r="35" customFormat="false" ht="15" hidden="false" customHeight="false" outlineLevel="0" collapsed="false">
      <c r="A35" s="19"/>
      <c r="B35" s="18"/>
      <c r="C35" s="19"/>
      <c r="D35" s="19"/>
      <c r="E35" s="43"/>
      <c r="F35" s="21"/>
      <c r="G35" s="22"/>
      <c r="H35" s="24" t="str">
        <f aca="false">IF(OR(E35="",AND(F35="",G35="")),"",E35*IF(F35&lt;&gt;"",F35,G35/Listes!$D$5))</f>
        <v/>
      </c>
      <c r="I35" s="28" t="str">
        <f aca="false">IF(H35="","",H35*Listes!$D$5)</f>
        <v/>
      </c>
      <c r="J35" s="19"/>
    </row>
    <row r="36" customFormat="false" ht="15" hidden="false" customHeight="false" outlineLevel="0" collapsed="false">
      <c r="A36" s="19"/>
      <c r="B36" s="18"/>
      <c r="C36" s="19"/>
      <c r="D36" s="19"/>
      <c r="E36" s="43"/>
      <c r="F36" s="21"/>
      <c r="G36" s="22"/>
      <c r="H36" s="24" t="str">
        <f aca="false">IF(OR(E36="",AND(F36="",G36="")),"",E36*IF(F36&lt;&gt;"",F36,G36/Listes!$D$5))</f>
        <v/>
      </c>
      <c r="I36" s="28" t="str">
        <f aca="false">IF(H36="","",H36*Listes!$D$5)</f>
        <v/>
      </c>
      <c r="J36" s="19"/>
    </row>
    <row r="37" customFormat="false" ht="15" hidden="false" customHeight="false" outlineLevel="0" collapsed="false">
      <c r="A37" s="19"/>
      <c r="B37" s="18"/>
      <c r="C37" s="19"/>
      <c r="D37" s="19"/>
      <c r="E37" s="43"/>
      <c r="F37" s="21"/>
      <c r="G37" s="22"/>
      <c r="H37" s="24" t="str">
        <f aca="false">IF(OR(E37="",AND(F37="",G37="")),"",E37*IF(F37&lt;&gt;"",F37,G37/Listes!$D$5))</f>
        <v/>
      </c>
      <c r="I37" s="28" t="str">
        <f aca="false">IF(H37="","",H37*Listes!$D$5)</f>
        <v/>
      </c>
      <c r="J37" s="19"/>
    </row>
    <row r="38" customFormat="false" ht="15" hidden="false" customHeight="false" outlineLevel="0" collapsed="false">
      <c r="A38" s="19"/>
      <c r="B38" s="18"/>
      <c r="C38" s="19"/>
      <c r="D38" s="19"/>
      <c r="E38" s="43"/>
      <c r="F38" s="21"/>
      <c r="G38" s="22"/>
      <c r="H38" s="24" t="str">
        <f aca="false">IF(OR(E38="",AND(F38="",G38="")),"",E38*IF(F38&lt;&gt;"",F38,G38/Listes!$D$5))</f>
        <v/>
      </c>
      <c r="I38" s="28" t="str">
        <f aca="false">IF(H38="","",H38*Listes!$D$5)</f>
        <v/>
      </c>
      <c r="J38" s="19"/>
    </row>
    <row r="39" customFormat="false" ht="15" hidden="false" customHeight="false" outlineLevel="0" collapsed="false">
      <c r="A39" s="19"/>
      <c r="B39" s="18"/>
      <c r="C39" s="19"/>
      <c r="D39" s="19"/>
      <c r="E39" s="43"/>
      <c r="F39" s="21"/>
      <c r="G39" s="22"/>
      <c r="H39" s="24" t="str">
        <f aca="false">IF(OR(E39="",AND(F39="",G39="")),"",E39*IF(F39&lt;&gt;"",F39,G39/Listes!$D$5))</f>
        <v/>
      </c>
      <c r="I39" s="28" t="str">
        <f aca="false">IF(H39="","",H39*Listes!$D$5)</f>
        <v/>
      </c>
      <c r="J39" s="19"/>
    </row>
    <row r="40" customFormat="false" ht="15" hidden="false" customHeight="false" outlineLevel="0" collapsed="false">
      <c r="A40" s="19"/>
      <c r="B40" s="18"/>
      <c r="C40" s="19"/>
      <c r="D40" s="19"/>
      <c r="E40" s="43"/>
      <c r="F40" s="21"/>
      <c r="G40" s="22"/>
      <c r="H40" s="24" t="str">
        <f aca="false">IF(OR(E40="",AND(F40="",G40="")),"",E40*IF(F40&lt;&gt;"",F40,G40/Listes!$D$5))</f>
        <v/>
      </c>
      <c r="I40" s="28" t="str">
        <f aca="false">IF(H40="","",H40*Listes!$D$5)</f>
        <v/>
      </c>
      <c r="J40" s="19"/>
    </row>
    <row r="41" customFormat="false" ht="15" hidden="false" customHeight="false" outlineLevel="0" collapsed="false">
      <c r="A41" s="19"/>
      <c r="B41" s="18"/>
      <c r="C41" s="19"/>
      <c r="D41" s="19"/>
      <c r="E41" s="43"/>
      <c r="F41" s="21"/>
      <c r="G41" s="22"/>
      <c r="H41" s="24" t="str">
        <f aca="false">IF(OR(E41="",AND(F41="",G41="")),"",E41*IF(F41&lt;&gt;"",F41,G41/Listes!$D$5))</f>
        <v/>
      </c>
      <c r="I41" s="28" t="str">
        <f aca="false">IF(H41="","",H41*Listes!$D$5)</f>
        <v/>
      </c>
      <c r="J41" s="19"/>
    </row>
    <row r="42" customFormat="false" ht="15" hidden="false" customHeight="false" outlineLevel="0" collapsed="false">
      <c r="A42" s="19"/>
      <c r="B42" s="18"/>
      <c r="C42" s="19"/>
      <c r="D42" s="19"/>
      <c r="E42" s="43"/>
      <c r="F42" s="21"/>
      <c r="G42" s="22"/>
      <c r="H42" s="24" t="str">
        <f aca="false">IF(OR(E42="",AND(F42="",G42="")),"",E42*IF(F42&lt;&gt;"",F42,G42/Listes!$D$5))</f>
        <v/>
      </c>
      <c r="I42" s="28" t="str">
        <f aca="false">IF(H42="","",H42*Listes!$D$5)</f>
        <v/>
      </c>
      <c r="J42" s="19"/>
    </row>
    <row r="43" customFormat="false" ht="15" hidden="false" customHeight="false" outlineLevel="0" collapsed="false">
      <c r="A43" s="19"/>
      <c r="B43" s="18"/>
      <c r="C43" s="19"/>
      <c r="D43" s="19"/>
      <c r="E43" s="43"/>
      <c r="F43" s="21"/>
      <c r="G43" s="22"/>
      <c r="H43" s="24" t="str">
        <f aca="false">IF(OR(E43="",AND(F43="",G43="")),"",E43*IF(F43&lt;&gt;"",F43,G43/Listes!$D$5))</f>
        <v/>
      </c>
      <c r="I43" s="28" t="str">
        <f aca="false">IF(H43="","",H43*Listes!$D$5)</f>
        <v/>
      </c>
      <c r="J43" s="19"/>
    </row>
    <row r="44" customFormat="false" ht="15" hidden="false" customHeight="false" outlineLevel="0" collapsed="false">
      <c r="A44" s="19"/>
      <c r="B44" s="18"/>
      <c r="C44" s="19"/>
      <c r="D44" s="19"/>
      <c r="E44" s="43"/>
      <c r="F44" s="21"/>
      <c r="G44" s="22"/>
      <c r="H44" s="24" t="str">
        <f aca="false">IF(OR(E44="",AND(F44="",G44="")),"",E44*IF(F44&lt;&gt;"",F44,G44/Listes!$D$5))</f>
        <v/>
      </c>
      <c r="I44" s="28" t="str">
        <f aca="false">IF(H44="","",H44*Listes!$D$5)</f>
        <v/>
      </c>
      <c r="J44" s="19"/>
    </row>
    <row r="45" customFormat="false" ht="15" hidden="false" customHeight="false" outlineLevel="0" collapsed="false">
      <c r="A45" s="19"/>
      <c r="B45" s="18"/>
      <c r="C45" s="19"/>
      <c r="D45" s="19"/>
      <c r="E45" s="43"/>
      <c r="F45" s="21"/>
      <c r="G45" s="22"/>
      <c r="H45" s="24" t="str">
        <f aca="false">IF(OR(E45="",AND(F45="",G45="")),"",E45*IF(F45&lt;&gt;"",F45,G45/Listes!$D$5))</f>
        <v/>
      </c>
      <c r="I45" s="28" t="str">
        <f aca="false">IF(H45="","",H45*Listes!$D$5)</f>
        <v/>
      </c>
      <c r="J45" s="19"/>
    </row>
    <row r="46" customFormat="false" ht="15" hidden="false" customHeight="false" outlineLevel="0" collapsed="false">
      <c r="A46" s="19"/>
      <c r="B46" s="18"/>
      <c r="C46" s="19"/>
      <c r="D46" s="19"/>
      <c r="E46" s="43"/>
      <c r="F46" s="21"/>
      <c r="G46" s="22"/>
      <c r="H46" s="24" t="str">
        <f aca="false">IF(OR(E46="",AND(F46="",G46="")),"",E46*IF(F46&lt;&gt;"",F46,G46/Listes!$D$5))</f>
        <v/>
      </c>
      <c r="I46" s="28" t="str">
        <f aca="false">IF(H46="","",H46*Listes!$D$5)</f>
        <v/>
      </c>
      <c r="J46" s="19"/>
    </row>
    <row r="47" customFormat="false" ht="15" hidden="false" customHeight="false" outlineLevel="0" collapsed="false">
      <c r="A47" s="19"/>
      <c r="B47" s="18"/>
      <c r="C47" s="19"/>
      <c r="D47" s="19"/>
      <c r="E47" s="43"/>
      <c r="F47" s="21"/>
      <c r="G47" s="22"/>
      <c r="H47" s="24" t="str">
        <f aca="false">IF(OR(E47="",AND(F47="",G47="")),"",E47*IF(F47&lt;&gt;"",F47,G47/Listes!$D$5))</f>
        <v/>
      </c>
      <c r="I47" s="28" t="str">
        <f aca="false">IF(H47="","",H47*Listes!$D$5)</f>
        <v/>
      </c>
      <c r="J47" s="19"/>
    </row>
    <row r="48" customFormat="false" ht="15" hidden="false" customHeight="false" outlineLevel="0" collapsed="false">
      <c r="A48" s="19"/>
      <c r="B48" s="18"/>
      <c r="C48" s="19"/>
      <c r="D48" s="19"/>
      <c r="E48" s="43"/>
      <c r="F48" s="21"/>
      <c r="G48" s="22"/>
      <c r="H48" s="24" t="str">
        <f aca="false">IF(OR(E48="",AND(F48="",G48="")),"",E48*IF(F48&lt;&gt;"",F48,G48/Listes!$D$5))</f>
        <v/>
      </c>
      <c r="I48" s="28" t="str">
        <f aca="false">IF(H48="","",H48*Listes!$D$5)</f>
        <v/>
      </c>
      <c r="J48" s="19"/>
    </row>
    <row r="49" customFormat="false" ht="15" hidden="false" customHeight="false" outlineLevel="0" collapsed="false">
      <c r="A49" s="19"/>
      <c r="B49" s="18"/>
      <c r="C49" s="19"/>
      <c r="D49" s="19"/>
      <c r="E49" s="43"/>
      <c r="F49" s="21"/>
      <c r="G49" s="22"/>
      <c r="H49" s="24" t="str">
        <f aca="false">IF(OR(E49="",AND(F49="",G49="")),"",E49*IF(F49&lt;&gt;"",F49,G49/Listes!$D$5))</f>
        <v/>
      </c>
      <c r="I49" s="28" t="str">
        <f aca="false">IF(H49="","",H49*Listes!$D$5)</f>
        <v/>
      </c>
      <c r="J49" s="19"/>
    </row>
    <row r="50" customFormat="false" ht="15" hidden="false" customHeight="false" outlineLevel="0" collapsed="false">
      <c r="A50" s="19"/>
      <c r="B50" s="18"/>
      <c r="C50" s="19"/>
      <c r="D50" s="19"/>
      <c r="E50" s="43"/>
      <c r="F50" s="21"/>
      <c r="G50" s="22"/>
      <c r="H50" s="24" t="str">
        <f aca="false">IF(OR(E50="",AND(F50="",G50="")),"",E50*IF(F50&lt;&gt;"",F50,G50/Listes!$D$5))</f>
        <v/>
      </c>
      <c r="I50" s="28" t="str">
        <f aca="false">IF(H50="","",H50*Listes!$D$5)</f>
        <v/>
      </c>
      <c r="J50" s="19"/>
    </row>
    <row r="51" customFormat="false" ht="15" hidden="false" customHeight="false" outlineLevel="0" collapsed="false">
      <c r="A51" s="19"/>
      <c r="B51" s="18"/>
      <c r="C51" s="19"/>
      <c r="D51" s="19"/>
      <c r="E51" s="43"/>
      <c r="F51" s="21"/>
      <c r="G51" s="22"/>
      <c r="H51" s="24" t="str">
        <f aca="false">IF(OR(E51="",AND(F51="",G51="")),"",E51*IF(F51&lt;&gt;"",F51,G51/Listes!$D$5))</f>
        <v/>
      </c>
      <c r="I51" s="28" t="str">
        <f aca="false">IF(H51="","",H51*Listes!$D$5)</f>
        <v/>
      </c>
      <c r="J51" s="19"/>
    </row>
    <row r="52" customFormat="false" ht="15" hidden="false" customHeight="false" outlineLevel="0" collapsed="false">
      <c r="A52" s="19"/>
      <c r="B52" s="18"/>
      <c r="C52" s="19"/>
      <c r="D52" s="19"/>
      <c r="E52" s="43"/>
      <c r="F52" s="21"/>
      <c r="G52" s="22"/>
      <c r="H52" s="24" t="str">
        <f aca="false">IF(OR(E52="",AND(F52="",G52="")),"",E52*IF(F52&lt;&gt;"",F52,G52/Listes!$D$5))</f>
        <v/>
      </c>
      <c r="I52" s="28" t="str">
        <f aca="false">IF(H52="","",H52*Listes!$D$5)</f>
        <v/>
      </c>
      <c r="J52" s="19"/>
    </row>
    <row r="53" customFormat="false" ht="15" hidden="false" customHeight="false" outlineLevel="0" collapsed="false">
      <c r="A53" s="19"/>
      <c r="B53" s="18"/>
      <c r="C53" s="19"/>
      <c r="D53" s="19"/>
      <c r="E53" s="43"/>
      <c r="F53" s="21"/>
      <c r="G53" s="22"/>
      <c r="H53" s="24" t="str">
        <f aca="false">IF(OR(E53="",AND(F53="",G53="")),"",E53*IF(F53&lt;&gt;"",F53,G53/Listes!$D$5))</f>
        <v/>
      </c>
      <c r="I53" s="28" t="str">
        <f aca="false">IF(H53="","",H53*Listes!$D$5)</f>
        <v/>
      </c>
      <c r="J53" s="19"/>
    </row>
    <row r="54" customFormat="false" ht="15" hidden="false" customHeight="false" outlineLevel="0" collapsed="false">
      <c r="A54" s="19"/>
      <c r="B54" s="18"/>
      <c r="C54" s="19"/>
      <c r="D54" s="19"/>
      <c r="E54" s="43"/>
      <c r="F54" s="21"/>
      <c r="G54" s="22"/>
      <c r="H54" s="24" t="str">
        <f aca="false">IF(OR(E54="",AND(F54="",G54="")),"",E54*IF(F54&lt;&gt;"",F54,G54/Listes!$D$5))</f>
        <v/>
      </c>
      <c r="I54" s="28" t="str">
        <f aca="false">IF(H54="","",H54*Listes!$D$5)</f>
        <v/>
      </c>
      <c r="J54" s="19"/>
    </row>
    <row r="55" customFormat="false" ht="15" hidden="false" customHeight="false" outlineLevel="0" collapsed="false">
      <c r="A55" s="19"/>
      <c r="B55" s="18"/>
      <c r="C55" s="19"/>
      <c r="D55" s="19"/>
      <c r="E55" s="43"/>
      <c r="F55" s="21"/>
      <c r="G55" s="22"/>
      <c r="H55" s="24" t="str">
        <f aca="false">IF(OR(E55="",AND(F55="",G55="")),"",E55*IF(F55&lt;&gt;"",F55,G55/Listes!$D$5))</f>
        <v/>
      </c>
      <c r="I55" s="28" t="str">
        <f aca="false">IF(H55="","",H55*Listes!$D$5)</f>
        <v/>
      </c>
      <c r="J55" s="19"/>
    </row>
    <row r="56" customFormat="false" ht="15" hidden="false" customHeight="false" outlineLevel="0" collapsed="false">
      <c r="A56" s="19"/>
      <c r="B56" s="18"/>
      <c r="C56" s="19"/>
      <c r="D56" s="19"/>
      <c r="E56" s="43"/>
      <c r="F56" s="21"/>
      <c r="G56" s="22"/>
      <c r="H56" s="24" t="str">
        <f aca="false">IF(OR(E56="",AND(F56="",G56="")),"",E56*IF(F56&lt;&gt;"",F56,G56/Listes!$D$5))</f>
        <v/>
      </c>
      <c r="I56" s="28" t="str">
        <f aca="false">IF(H56="","",H56*Listes!$D$5)</f>
        <v/>
      </c>
      <c r="J56" s="19"/>
    </row>
    <row r="57" customFormat="false" ht="15" hidden="false" customHeight="false" outlineLevel="0" collapsed="false">
      <c r="A57" s="19"/>
      <c r="B57" s="18"/>
      <c r="C57" s="19"/>
      <c r="D57" s="19"/>
      <c r="E57" s="43"/>
      <c r="F57" s="21"/>
      <c r="G57" s="22"/>
      <c r="H57" s="24" t="str">
        <f aca="false">IF(OR(E57="",AND(F57="",G57="")),"",E57*IF(F57&lt;&gt;"",F57,G57/Listes!$D$5))</f>
        <v/>
      </c>
      <c r="I57" s="28" t="str">
        <f aca="false">IF(H57="","",H57*Listes!$D$5)</f>
        <v/>
      </c>
      <c r="J57" s="19"/>
    </row>
    <row r="58" customFormat="false" ht="15" hidden="false" customHeight="false" outlineLevel="0" collapsed="false">
      <c r="A58" s="19"/>
      <c r="B58" s="18"/>
      <c r="C58" s="19"/>
      <c r="D58" s="19"/>
      <c r="E58" s="43"/>
      <c r="F58" s="21"/>
      <c r="G58" s="22"/>
      <c r="H58" s="24" t="str">
        <f aca="false">IF(OR(E58="",AND(F58="",G58="")),"",E58*IF(F58&lt;&gt;"",F58,G58/Listes!$D$5))</f>
        <v/>
      </c>
      <c r="I58" s="28" t="str">
        <f aca="false">IF(H58="","",H58*Listes!$D$5)</f>
        <v/>
      </c>
      <c r="J58" s="19"/>
    </row>
    <row r="59" customFormat="false" ht="15" hidden="false" customHeight="false" outlineLevel="0" collapsed="false">
      <c r="A59" s="19"/>
      <c r="B59" s="18"/>
      <c r="C59" s="19"/>
      <c r="D59" s="19"/>
      <c r="E59" s="43"/>
      <c r="F59" s="21"/>
      <c r="G59" s="22"/>
      <c r="H59" s="24" t="str">
        <f aca="false">IF(OR(E59="",AND(F59="",G59="")),"",E59*IF(F59&lt;&gt;"",F59,G59/Listes!$D$5))</f>
        <v/>
      </c>
      <c r="I59" s="28" t="str">
        <f aca="false">IF(H59="","",H59*Listes!$D$5)</f>
        <v/>
      </c>
      <c r="J59" s="19"/>
    </row>
    <row r="60" customFormat="false" ht="15" hidden="false" customHeight="false" outlineLevel="0" collapsed="false">
      <c r="A60" s="19"/>
      <c r="B60" s="18"/>
      <c r="C60" s="19"/>
      <c r="D60" s="19"/>
      <c r="E60" s="43"/>
      <c r="F60" s="21"/>
      <c r="G60" s="22"/>
      <c r="H60" s="24" t="str">
        <f aca="false">IF(OR(E60="",AND(F60="",G60="")),"",E60*IF(F60&lt;&gt;"",F60,G60/Listes!$D$5))</f>
        <v/>
      </c>
      <c r="I60" s="28" t="str">
        <f aca="false">IF(H60="","",H60*Listes!$D$5)</f>
        <v/>
      </c>
      <c r="J60" s="19"/>
    </row>
    <row r="61" customFormat="false" ht="15" hidden="false" customHeight="false" outlineLevel="0" collapsed="false">
      <c r="A61" s="19"/>
      <c r="B61" s="18"/>
      <c r="C61" s="19"/>
      <c r="D61" s="19"/>
      <c r="E61" s="43"/>
      <c r="F61" s="21"/>
      <c r="G61" s="22"/>
      <c r="H61" s="24" t="str">
        <f aca="false">IF(OR(E61="",AND(F61="",G61="")),"",E61*IF(F61&lt;&gt;"",F61,G61/Listes!$D$5))</f>
        <v/>
      </c>
      <c r="I61" s="28" t="str">
        <f aca="false">IF(H61="","",H61*Listes!$D$5)</f>
        <v/>
      </c>
      <c r="J61" s="19"/>
    </row>
    <row r="62" customFormat="false" ht="15" hidden="false" customHeight="false" outlineLevel="0" collapsed="false">
      <c r="A62" s="19"/>
      <c r="B62" s="18"/>
      <c r="C62" s="19"/>
      <c r="D62" s="19"/>
      <c r="E62" s="43"/>
      <c r="F62" s="21"/>
      <c r="G62" s="22"/>
      <c r="H62" s="24" t="str">
        <f aca="false">IF(OR(E62="",AND(F62="",G62="")),"",E62*IF(F62&lt;&gt;"",F62,G62/Listes!$D$5))</f>
        <v/>
      </c>
      <c r="I62" s="28" t="str">
        <f aca="false">IF(H62="","",H62*Listes!$D$5)</f>
        <v/>
      </c>
      <c r="J62" s="19"/>
    </row>
    <row r="63" customFormat="false" ht="15" hidden="false" customHeight="false" outlineLevel="0" collapsed="false">
      <c r="A63" s="19"/>
      <c r="B63" s="18"/>
      <c r="C63" s="19"/>
      <c r="D63" s="19"/>
      <c r="E63" s="43"/>
      <c r="F63" s="21"/>
      <c r="G63" s="22"/>
      <c r="H63" s="24" t="str">
        <f aca="false">IF(OR(E63="",AND(F63="",G63="")),"",E63*IF(F63&lt;&gt;"",F63,G63/Listes!$D$5))</f>
        <v/>
      </c>
      <c r="I63" s="28" t="str">
        <f aca="false">IF(H63="","",H63*Listes!$D$5)</f>
        <v/>
      </c>
      <c r="J63" s="19"/>
    </row>
    <row r="64" customFormat="false" ht="15" hidden="false" customHeight="false" outlineLevel="0" collapsed="false">
      <c r="A64" s="19"/>
      <c r="B64" s="18"/>
      <c r="C64" s="19"/>
      <c r="D64" s="19"/>
      <c r="E64" s="43"/>
      <c r="F64" s="21"/>
      <c r="G64" s="22"/>
      <c r="H64" s="24" t="str">
        <f aca="false">IF(OR(E64="",AND(F64="",G64="")),"",E64*IF(F64&lt;&gt;"",F64,G64/Listes!$D$5))</f>
        <v/>
      </c>
      <c r="I64" s="28" t="str">
        <f aca="false">IF(H64="","",H64*Listes!$D$5)</f>
        <v/>
      </c>
      <c r="J64" s="19"/>
    </row>
    <row r="65" customFormat="false" ht="15" hidden="false" customHeight="false" outlineLevel="0" collapsed="false">
      <c r="A65" s="19"/>
      <c r="B65" s="18"/>
      <c r="C65" s="19"/>
      <c r="D65" s="19"/>
      <c r="E65" s="43"/>
      <c r="F65" s="21"/>
      <c r="G65" s="22"/>
      <c r="H65" s="24" t="str">
        <f aca="false">IF(OR(E65="",AND(F65="",G65="")),"",E65*IF(F65&lt;&gt;"",F65,G65/Listes!$D$5))</f>
        <v/>
      </c>
      <c r="I65" s="28" t="str">
        <f aca="false">IF(H65="","",H65*Listes!$D$5)</f>
        <v/>
      </c>
      <c r="J65" s="19"/>
    </row>
    <row r="66" customFormat="false" ht="15" hidden="false" customHeight="false" outlineLevel="0" collapsed="false">
      <c r="A66" s="19"/>
      <c r="B66" s="18"/>
      <c r="C66" s="19"/>
      <c r="D66" s="19"/>
      <c r="E66" s="43"/>
      <c r="F66" s="21"/>
      <c r="G66" s="22"/>
      <c r="H66" s="24" t="str">
        <f aca="false">IF(OR(E66="",AND(F66="",G66="")),"",E66*IF(F66&lt;&gt;"",F66,G66/Listes!$D$5))</f>
        <v/>
      </c>
      <c r="I66" s="28" t="str">
        <f aca="false">IF(H66="","",H66*Listes!$D$5)</f>
        <v/>
      </c>
      <c r="J66" s="19"/>
    </row>
    <row r="67" customFormat="false" ht="15" hidden="false" customHeight="false" outlineLevel="0" collapsed="false">
      <c r="A67" s="19"/>
      <c r="B67" s="18"/>
      <c r="C67" s="19"/>
      <c r="D67" s="19"/>
      <c r="E67" s="43"/>
      <c r="F67" s="21"/>
      <c r="G67" s="22"/>
      <c r="H67" s="24" t="str">
        <f aca="false">IF(OR(E67="",AND(F67="",G67="")),"",E67*IF(F67&lt;&gt;"",F67,G67/Listes!$D$5))</f>
        <v/>
      </c>
      <c r="I67" s="28" t="str">
        <f aca="false">IF(H67="","",H67*Listes!$D$5)</f>
        <v/>
      </c>
      <c r="J67" s="19"/>
    </row>
    <row r="68" customFormat="false" ht="15" hidden="false" customHeight="false" outlineLevel="0" collapsed="false">
      <c r="A68" s="19"/>
      <c r="B68" s="18"/>
      <c r="C68" s="19"/>
      <c r="D68" s="19"/>
      <c r="E68" s="43"/>
      <c r="F68" s="21"/>
      <c r="G68" s="22"/>
      <c r="H68" s="24" t="str">
        <f aca="false">IF(OR(E68="",AND(F68="",G68="")),"",E68*IF(F68&lt;&gt;"",F68,G68/Listes!$D$5))</f>
        <v/>
      </c>
      <c r="I68" s="28" t="str">
        <f aca="false">IF(H68="","",H68*Listes!$D$5)</f>
        <v/>
      </c>
      <c r="J68" s="19"/>
    </row>
    <row r="69" customFormat="false" ht="15" hidden="false" customHeight="false" outlineLevel="0" collapsed="false">
      <c r="A69" s="19"/>
      <c r="B69" s="18"/>
      <c r="C69" s="19"/>
      <c r="D69" s="19"/>
      <c r="E69" s="43"/>
      <c r="F69" s="21"/>
      <c r="G69" s="22"/>
      <c r="H69" s="24" t="str">
        <f aca="false">IF(OR(E69="",AND(F69="",G69="")),"",E69*IF(F69&lt;&gt;"",F69,G69/Listes!$D$5))</f>
        <v/>
      </c>
      <c r="I69" s="28" t="str">
        <f aca="false">IF(H69="","",H69*Listes!$D$5)</f>
        <v/>
      </c>
      <c r="J69" s="19"/>
    </row>
    <row r="70" customFormat="false" ht="15" hidden="false" customHeight="false" outlineLevel="0" collapsed="false">
      <c r="A70" s="19"/>
      <c r="B70" s="18"/>
      <c r="C70" s="19"/>
      <c r="D70" s="19"/>
      <c r="E70" s="43"/>
      <c r="F70" s="21"/>
      <c r="G70" s="22"/>
      <c r="H70" s="24" t="str">
        <f aca="false">IF(OR(E70="",AND(F70="",G70="")),"",E70*IF(F70&lt;&gt;"",F70,G70/Listes!$D$5))</f>
        <v/>
      </c>
      <c r="I70" s="28" t="str">
        <f aca="false">IF(H70="","",H70*Listes!$D$5)</f>
        <v/>
      </c>
      <c r="J70" s="19"/>
    </row>
    <row r="71" customFormat="false" ht="15" hidden="false" customHeight="false" outlineLevel="0" collapsed="false">
      <c r="A71" s="19"/>
      <c r="B71" s="18"/>
      <c r="C71" s="19"/>
      <c r="D71" s="19"/>
      <c r="E71" s="43"/>
      <c r="F71" s="21"/>
      <c r="G71" s="22"/>
      <c r="H71" s="24" t="str">
        <f aca="false">IF(OR(E71="",AND(F71="",G71="")),"",E71*IF(F71&lt;&gt;"",F71,G71/Listes!$D$5))</f>
        <v/>
      </c>
      <c r="I71" s="28" t="str">
        <f aca="false">IF(H71="","",H71*Listes!$D$5)</f>
        <v/>
      </c>
      <c r="J71" s="19"/>
    </row>
    <row r="72" customFormat="false" ht="15" hidden="false" customHeight="false" outlineLevel="0" collapsed="false">
      <c r="A72" s="19"/>
      <c r="B72" s="18"/>
      <c r="C72" s="19"/>
      <c r="D72" s="19"/>
      <c r="E72" s="43"/>
      <c r="F72" s="21"/>
      <c r="G72" s="22"/>
      <c r="H72" s="24" t="str">
        <f aca="false">IF(OR(E72="",AND(F72="",G72="")),"",E72*IF(F72&lt;&gt;"",F72,G72/Listes!$D$5))</f>
        <v/>
      </c>
      <c r="I72" s="28" t="str">
        <f aca="false">IF(H72="","",H72*Listes!$D$5)</f>
        <v/>
      </c>
      <c r="J72" s="19"/>
    </row>
    <row r="73" customFormat="false" ht="15" hidden="false" customHeight="false" outlineLevel="0" collapsed="false">
      <c r="A73" s="19"/>
      <c r="B73" s="18"/>
      <c r="C73" s="19"/>
      <c r="D73" s="19"/>
      <c r="E73" s="43"/>
      <c r="F73" s="21"/>
      <c r="G73" s="22"/>
      <c r="H73" s="24" t="str">
        <f aca="false">IF(OR(E73="",AND(F73="",G73="")),"",E73*IF(F73&lt;&gt;"",F73,G73/Listes!$D$5))</f>
        <v/>
      </c>
      <c r="I73" s="28" t="str">
        <f aca="false">IF(H73="","",H73*Listes!$D$5)</f>
        <v/>
      </c>
      <c r="J73" s="19"/>
    </row>
    <row r="74" customFormat="false" ht="15" hidden="false" customHeight="false" outlineLevel="0" collapsed="false">
      <c r="A74" s="19"/>
      <c r="B74" s="18"/>
      <c r="C74" s="19"/>
      <c r="D74" s="19"/>
      <c r="E74" s="43"/>
      <c r="F74" s="21"/>
      <c r="G74" s="22"/>
      <c r="H74" s="24" t="str">
        <f aca="false">IF(OR(E74="",AND(F74="",G74="")),"",E74*IF(F74&lt;&gt;"",F74,G74/Listes!$D$5))</f>
        <v/>
      </c>
      <c r="I74" s="28" t="str">
        <f aca="false">IF(H74="","",H74*Listes!$D$5)</f>
        <v/>
      </c>
      <c r="J74" s="19"/>
    </row>
    <row r="75" customFormat="false" ht="15" hidden="false" customHeight="false" outlineLevel="0" collapsed="false">
      <c r="A75" s="19"/>
      <c r="B75" s="18"/>
      <c r="C75" s="19"/>
      <c r="D75" s="19"/>
      <c r="E75" s="43"/>
      <c r="F75" s="21"/>
      <c r="G75" s="22"/>
      <c r="H75" s="24" t="str">
        <f aca="false">IF(OR(E75="",AND(F75="",G75="")),"",E75*IF(F75&lt;&gt;"",F75,G75/Listes!$D$5))</f>
        <v/>
      </c>
      <c r="I75" s="28" t="str">
        <f aca="false">IF(H75="","",H75*Listes!$D$5)</f>
        <v/>
      </c>
      <c r="J75" s="19"/>
    </row>
    <row r="76" customFormat="false" ht="15" hidden="false" customHeight="false" outlineLevel="0" collapsed="false">
      <c r="A76" s="19"/>
      <c r="B76" s="18"/>
      <c r="C76" s="19"/>
      <c r="D76" s="19"/>
      <c r="E76" s="43"/>
      <c r="F76" s="21"/>
      <c r="G76" s="22"/>
      <c r="H76" s="24" t="str">
        <f aca="false">IF(OR(E76="",AND(F76="",G76="")),"",E76*IF(F76&lt;&gt;"",F76,G76/Listes!$D$5))</f>
        <v/>
      </c>
      <c r="I76" s="28" t="str">
        <f aca="false">IF(H76="","",H76*Listes!$D$5)</f>
        <v/>
      </c>
      <c r="J76" s="19"/>
    </row>
    <row r="77" customFormat="false" ht="15" hidden="false" customHeight="false" outlineLevel="0" collapsed="false">
      <c r="A77" s="19"/>
      <c r="B77" s="18"/>
      <c r="C77" s="19"/>
      <c r="D77" s="19"/>
      <c r="E77" s="43"/>
      <c r="F77" s="21"/>
      <c r="G77" s="22"/>
      <c r="H77" s="24" t="str">
        <f aca="false">IF(OR(E77="",AND(F77="",G77="")),"",E77*IF(F77&lt;&gt;"",F77,G77/Listes!$D$5))</f>
        <v/>
      </c>
      <c r="I77" s="28" t="str">
        <f aca="false">IF(H77="","",H77*Listes!$D$5)</f>
        <v/>
      </c>
      <c r="J77" s="19"/>
    </row>
    <row r="78" customFormat="false" ht="15" hidden="false" customHeight="false" outlineLevel="0" collapsed="false">
      <c r="A78" s="19"/>
      <c r="B78" s="18"/>
      <c r="C78" s="19"/>
      <c r="D78" s="19"/>
      <c r="E78" s="43"/>
      <c r="F78" s="21"/>
      <c r="G78" s="22"/>
      <c r="H78" s="24" t="str">
        <f aca="false">IF(OR(E78="",AND(F78="",G78="")),"",E78*IF(F78&lt;&gt;"",F78,G78/Listes!$D$5))</f>
        <v/>
      </c>
      <c r="I78" s="28" t="str">
        <f aca="false">IF(H78="","",H78*Listes!$D$5)</f>
        <v/>
      </c>
      <c r="J78" s="19"/>
    </row>
    <row r="79" customFormat="false" ht="15" hidden="false" customHeight="false" outlineLevel="0" collapsed="false">
      <c r="A79" s="19"/>
      <c r="B79" s="18"/>
      <c r="C79" s="19"/>
      <c r="D79" s="19"/>
      <c r="E79" s="43"/>
      <c r="F79" s="21"/>
      <c r="G79" s="22"/>
      <c r="H79" s="24" t="str">
        <f aca="false">IF(OR(E79="",AND(F79="",G79="")),"",E79*IF(F79&lt;&gt;"",F79,G79/Listes!$D$5))</f>
        <v/>
      </c>
      <c r="I79" s="28" t="str">
        <f aca="false">IF(H79="","",H79*Listes!$D$5)</f>
        <v/>
      </c>
      <c r="J79" s="19"/>
    </row>
    <row r="80" customFormat="false" ht="15" hidden="false" customHeight="false" outlineLevel="0" collapsed="false">
      <c r="A80" s="19"/>
      <c r="B80" s="18"/>
      <c r="C80" s="19"/>
      <c r="D80" s="19"/>
      <c r="E80" s="43"/>
      <c r="F80" s="21"/>
      <c r="G80" s="22"/>
      <c r="H80" s="24" t="str">
        <f aca="false">IF(OR(E80="",AND(F80="",G80="")),"",E80*IF(F80&lt;&gt;"",F80,G80/Listes!$D$5))</f>
        <v/>
      </c>
      <c r="I80" s="28" t="str">
        <f aca="false">IF(H80="","",H80*Listes!$D$5)</f>
        <v/>
      </c>
      <c r="J80" s="19"/>
    </row>
    <row r="81" customFormat="false" ht="15" hidden="false" customHeight="false" outlineLevel="0" collapsed="false">
      <c r="A81" s="19"/>
      <c r="B81" s="18"/>
      <c r="C81" s="19"/>
      <c r="D81" s="19"/>
      <c r="E81" s="43"/>
      <c r="F81" s="21"/>
      <c r="G81" s="22"/>
      <c r="H81" s="24" t="str">
        <f aca="false">IF(OR(E81="",AND(F81="",G81="")),"",E81*IF(F81&lt;&gt;"",F81,G81/Listes!$D$5))</f>
        <v/>
      </c>
      <c r="I81" s="28" t="str">
        <f aca="false">IF(H81="","",H81*Listes!$D$5)</f>
        <v/>
      </c>
      <c r="J81" s="19"/>
    </row>
    <row r="82" customFormat="false" ht="15" hidden="false" customHeight="false" outlineLevel="0" collapsed="false">
      <c r="A82" s="19"/>
      <c r="B82" s="18"/>
      <c r="C82" s="19"/>
      <c r="D82" s="19"/>
      <c r="E82" s="43"/>
      <c r="F82" s="21"/>
      <c r="G82" s="22"/>
      <c r="H82" s="24" t="str">
        <f aca="false">IF(OR(E82="",AND(F82="",G82="")),"",E82*IF(F82&lt;&gt;"",F82,G82/Listes!$D$5))</f>
        <v/>
      </c>
      <c r="I82" s="28" t="str">
        <f aca="false">IF(H82="","",H82*Listes!$D$5)</f>
        <v/>
      </c>
      <c r="J82" s="19"/>
    </row>
    <row r="83" customFormat="false" ht="15" hidden="false" customHeight="false" outlineLevel="0" collapsed="false">
      <c r="A83" s="19"/>
      <c r="B83" s="18"/>
      <c r="C83" s="19"/>
      <c r="D83" s="19"/>
      <c r="E83" s="43"/>
      <c r="F83" s="21"/>
      <c r="G83" s="22"/>
      <c r="H83" s="24" t="str">
        <f aca="false">IF(OR(E83="",AND(F83="",G83="")),"",E83*IF(F83&lt;&gt;"",F83,G83/Listes!$D$5))</f>
        <v/>
      </c>
      <c r="I83" s="28" t="str">
        <f aca="false">IF(H83="","",H83*Listes!$D$5)</f>
        <v/>
      </c>
      <c r="J83" s="19"/>
    </row>
    <row r="84" customFormat="false" ht="15" hidden="false" customHeight="false" outlineLevel="0" collapsed="false">
      <c r="A84" s="19"/>
      <c r="B84" s="18"/>
      <c r="C84" s="19"/>
      <c r="D84" s="19"/>
      <c r="E84" s="43"/>
      <c r="F84" s="21"/>
      <c r="G84" s="22"/>
      <c r="H84" s="24" t="str">
        <f aca="false">IF(OR(E84="",AND(F84="",G84="")),"",E84*IF(F84&lt;&gt;"",F84,G84/Listes!$D$5))</f>
        <v/>
      </c>
      <c r="I84" s="28" t="str">
        <f aca="false">IF(H84="","",H84*Listes!$D$5)</f>
        <v/>
      </c>
      <c r="J84" s="19"/>
    </row>
    <row r="85" customFormat="false" ht="15" hidden="false" customHeight="false" outlineLevel="0" collapsed="false">
      <c r="A85" s="19"/>
      <c r="B85" s="18"/>
      <c r="C85" s="19"/>
      <c r="D85" s="19"/>
      <c r="E85" s="43"/>
      <c r="F85" s="21"/>
      <c r="G85" s="22"/>
      <c r="H85" s="24" t="str">
        <f aca="false">IF(OR(E85="",AND(F85="",G85="")),"",E85*IF(F85&lt;&gt;"",F85,G85/Listes!$D$5))</f>
        <v/>
      </c>
      <c r="I85" s="28" t="str">
        <f aca="false">IF(H85="","",H85*Listes!$D$5)</f>
        <v/>
      </c>
      <c r="J85" s="19"/>
    </row>
    <row r="86" customFormat="false" ht="15" hidden="false" customHeight="false" outlineLevel="0" collapsed="false">
      <c r="A86" s="19"/>
      <c r="B86" s="18"/>
      <c r="C86" s="19"/>
      <c r="D86" s="19"/>
      <c r="E86" s="43"/>
      <c r="F86" s="21"/>
      <c r="G86" s="22"/>
      <c r="H86" s="24" t="str">
        <f aca="false">IF(OR(E86="",AND(F86="",G86="")),"",E86*IF(F86&lt;&gt;"",F86,G86/Listes!$D$5))</f>
        <v/>
      </c>
      <c r="I86" s="28" t="str">
        <f aca="false">IF(H86="","",H86*Listes!$D$5)</f>
        <v/>
      </c>
      <c r="J86" s="19"/>
    </row>
    <row r="87" customFormat="false" ht="15" hidden="false" customHeight="false" outlineLevel="0" collapsed="false">
      <c r="A87" s="19"/>
      <c r="B87" s="18"/>
      <c r="C87" s="19"/>
      <c r="D87" s="19"/>
      <c r="E87" s="43"/>
      <c r="F87" s="21"/>
      <c r="G87" s="22"/>
      <c r="H87" s="24" t="str">
        <f aca="false">IF(OR(E87="",AND(F87="",G87="")),"",E87*IF(F87&lt;&gt;"",F87,G87/Listes!$D$5))</f>
        <v/>
      </c>
      <c r="I87" s="28" t="str">
        <f aca="false">IF(H87="","",H87*Listes!$D$5)</f>
        <v/>
      </c>
      <c r="J87" s="19"/>
    </row>
    <row r="88" customFormat="false" ht="15" hidden="false" customHeight="false" outlineLevel="0" collapsed="false">
      <c r="A88" s="19"/>
      <c r="B88" s="18"/>
      <c r="C88" s="19"/>
      <c r="D88" s="19"/>
      <c r="E88" s="43"/>
      <c r="F88" s="21"/>
      <c r="G88" s="22"/>
      <c r="H88" s="24" t="str">
        <f aca="false">IF(OR(E88="",AND(F88="",G88="")),"",E88*IF(F88&lt;&gt;"",F88,G88/Listes!$D$5))</f>
        <v/>
      </c>
      <c r="I88" s="28" t="str">
        <f aca="false">IF(H88="","",H88*Listes!$D$5)</f>
        <v/>
      </c>
      <c r="J88" s="19"/>
    </row>
    <row r="89" customFormat="false" ht="15" hidden="false" customHeight="false" outlineLevel="0" collapsed="false">
      <c r="A89" s="19"/>
      <c r="B89" s="18"/>
      <c r="C89" s="19"/>
      <c r="D89" s="19"/>
      <c r="E89" s="43"/>
      <c r="F89" s="21"/>
      <c r="G89" s="22"/>
      <c r="H89" s="24" t="str">
        <f aca="false">IF(OR(E89="",AND(F89="",G89="")),"",E89*IF(F89&lt;&gt;"",F89,G89/Listes!$D$5))</f>
        <v/>
      </c>
      <c r="I89" s="28" t="str">
        <f aca="false">IF(H89="","",H89*Listes!$D$5)</f>
        <v/>
      </c>
      <c r="J89" s="19"/>
    </row>
    <row r="90" customFormat="false" ht="15" hidden="false" customHeight="false" outlineLevel="0" collapsed="false">
      <c r="A90" s="19"/>
      <c r="B90" s="18"/>
      <c r="C90" s="19"/>
      <c r="D90" s="19"/>
      <c r="E90" s="43"/>
      <c r="F90" s="21"/>
      <c r="G90" s="22"/>
      <c r="H90" s="24" t="str">
        <f aca="false">IF(OR(E90="",AND(F90="",G90="")),"",E90*IF(F90&lt;&gt;"",F90,G90/Listes!$D$5))</f>
        <v/>
      </c>
      <c r="I90" s="28" t="str">
        <f aca="false">IF(H90="","",H90*Listes!$D$5)</f>
        <v/>
      </c>
      <c r="J90" s="19"/>
    </row>
    <row r="91" customFormat="false" ht="15" hidden="false" customHeight="false" outlineLevel="0" collapsed="false">
      <c r="A91" s="19"/>
      <c r="B91" s="18"/>
      <c r="C91" s="19"/>
      <c r="D91" s="19"/>
      <c r="E91" s="43"/>
      <c r="F91" s="21"/>
      <c r="G91" s="22"/>
      <c r="H91" s="24" t="str">
        <f aca="false">IF(OR(E91="",AND(F91="",G91="")),"",E91*IF(F91&lt;&gt;"",F91,G91/Listes!$D$5))</f>
        <v/>
      </c>
      <c r="I91" s="28" t="str">
        <f aca="false">IF(H91="","",H91*Listes!$D$5)</f>
        <v/>
      </c>
      <c r="J91" s="19"/>
    </row>
    <row r="92" customFormat="false" ht="15" hidden="false" customHeight="false" outlineLevel="0" collapsed="false">
      <c r="A92" s="19"/>
      <c r="B92" s="18"/>
      <c r="C92" s="19"/>
      <c r="D92" s="19"/>
      <c r="E92" s="43"/>
      <c r="F92" s="21"/>
      <c r="G92" s="22"/>
      <c r="H92" s="24" t="str">
        <f aca="false">IF(OR(E92="",AND(F92="",G92="")),"",E92*IF(F92&lt;&gt;"",F92,G92/Listes!$D$5))</f>
        <v/>
      </c>
      <c r="I92" s="28" t="str">
        <f aca="false">IF(H92="","",H92*Listes!$D$5)</f>
        <v/>
      </c>
      <c r="J92" s="19"/>
    </row>
    <row r="93" customFormat="false" ht="15" hidden="false" customHeight="false" outlineLevel="0" collapsed="false">
      <c r="A93" s="19"/>
      <c r="B93" s="18"/>
      <c r="C93" s="19"/>
      <c r="D93" s="19"/>
      <c r="E93" s="43"/>
      <c r="F93" s="21"/>
      <c r="G93" s="22"/>
      <c r="H93" s="24" t="str">
        <f aca="false">IF(OR(E93="",AND(F93="",G93="")),"",E93*IF(F93&lt;&gt;"",F93,G93/Listes!$D$5))</f>
        <v/>
      </c>
      <c r="I93" s="28" t="str">
        <f aca="false">IF(H93="","",H93*Listes!$D$5)</f>
        <v/>
      </c>
      <c r="J93" s="19"/>
    </row>
    <row r="94" customFormat="false" ht="15" hidden="false" customHeight="false" outlineLevel="0" collapsed="false">
      <c r="A94" s="19"/>
      <c r="B94" s="18"/>
      <c r="C94" s="19"/>
      <c r="D94" s="19"/>
      <c r="E94" s="43"/>
      <c r="F94" s="21"/>
      <c r="G94" s="22"/>
      <c r="H94" s="24" t="str">
        <f aca="false">IF(OR(E94="",AND(F94="",G94="")),"",E94*IF(F94&lt;&gt;"",F94,G94/Listes!$D$5))</f>
        <v/>
      </c>
      <c r="I94" s="28" t="str">
        <f aca="false">IF(H94="","",H94*Listes!$D$5)</f>
        <v/>
      </c>
      <c r="J94" s="19"/>
    </row>
    <row r="95" customFormat="false" ht="15" hidden="false" customHeight="false" outlineLevel="0" collapsed="false">
      <c r="A95" s="19"/>
      <c r="B95" s="18"/>
      <c r="C95" s="19"/>
      <c r="D95" s="19"/>
      <c r="E95" s="43"/>
      <c r="F95" s="21"/>
      <c r="G95" s="22"/>
      <c r="H95" s="24" t="str">
        <f aca="false">IF(OR(E95="",AND(F95="",G95="")),"",E95*IF(F95&lt;&gt;"",F95,G95/Listes!$D$5))</f>
        <v/>
      </c>
      <c r="I95" s="28" t="str">
        <f aca="false">IF(H95="","",H95*Listes!$D$5)</f>
        <v/>
      </c>
      <c r="J95" s="19"/>
    </row>
    <row r="96" customFormat="false" ht="15" hidden="false" customHeight="false" outlineLevel="0" collapsed="false">
      <c r="A96" s="19"/>
      <c r="B96" s="18"/>
      <c r="C96" s="19"/>
      <c r="D96" s="19"/>
      <c r="E96" s="43"/>
      <c r="F96" s="21"/>
      <c r="G96" s="22"/>
      <c r="H96" s="24" t="str">
        <f aca="false">IF(OR(E96="",AND(F96="",G96="")),"",E96*IF(F96&lt;&gt;"",F96,G96/Listes!$D$5))</f>
        <v/>
      </c>
      <c r="I96" s="28" t="str">
        <f aca="false">IF(H96="","",H96*Listes!$D$5)</f>
        <v/>
      </c>
      <c r="J96" s="19"/>
    </row>
    <row r="97" customFormat="false" ht="15" hidden="false" customHeight="false" outlineLevel="0" collapsed="false">
      <c r="A97" s="19"/>
      <c r="B97" s="18"/>
      <c r="C97" s="19"/>
      <c r="D97" s="19"/>
      <c r="E97" s="43"/>
      <c r="F97" s="21"/>
      <c r="G97" s="22"/>
      <c r="H97" s="24" t="str">
        <f aca="false">IF(OR(E97="",AND(F97="",G97="")),"",E97*IF(F97&lt;&gt;"",F97,G97/Listes!$D$5))</f>
        <v/>
      </c>
      <c r="I97" s="28" t="str">
        <f aca="false">IF(H97="","",H97*Listes!$D$5)</f>
        <v/>
      </c>
      <c r="J97" s="19"/>
    </row>
    <row r="98" customFormat="false" ht="15" hidden="false" customHeight="false" outlineLevel="0" collapsed="false">
      <c r="A98" s="19"/>
      <c r="B98" s="18"/>
      <c r="C98" s="19"/>
      <c r="D98" s="19"/>
      <c r="E98" s="43"/>
      <c r="F98" s="21"/>
      <c r="G98" s="22"/>
      <c r="H98" s="24" t="str">
        <f aca="false">IF(OR(E98="",AND(F98="",G98="")),"",E98*IF(F98&lt;&gt;"",F98,G98/Listes!$D$5))</f>
        <v/>
      </c>
      <c r="I98" s="28" t="str">
        <f aca="false">IF(H98="","",H98*Listes!$D$5)</f>
        <v/>
      </c>
      <c r="J98" s="19"/>
    </row>
    <row r="99" customFormat="false" ht="15" hidden="false" customHeight="false" outlineLevel="0" collapsed="false">
      <c r="A99" s="19"/>
      <c r="B99" s="18"/>
      <c r="C99" s="19"/>
      <c r="D99" s="19"/>
      <c r="E99" s="43"/>
      <c r="F99" s="21"/>
      <c r="G99" s="22"/>
      <c r="H99" s="24" t="str">
        <f aca="false">IF(OR(E99="",AND(F99="",G99="")),"",E99*IF(F99&lt;&gt;"",F99,G99/Listes!$D$5))</f>
        <v/>
      </c>
      <c r="I99" s="28" t="str">
        <f aca="false">IF(H99="","",H99*Listes!$D$5)</f>
        <v/>
      </c>
      <c r="J99" s="19"/>
    </row>
    <row r="100" customFormat="false" ht="15" hidden="false" customHeight="false" outlineLevel="0" collapsed="false">
      <c r="A100" s="19"/>
      <c r="B100" s="18"/>
      <c r="C100" s="19"/>
      <c r="D100" s="19"/>
      <c r="E100" s="43"/>
      <c r="F100" s="21"/>
      <c r="G100" s="22"/>
      <c r="H100" s="24" t="str">
        <f aca="false">IF(OR(E100="",AND(F100="",G100="")),"",E100*IF(F100&lt;&gt;"",F100,G100/Listes!$D$5))</f>
        <v/>
      </c>
      <c r="I100" s="28" t="str">
        <f aca="false">IF(H100="","",H100*Listes!$D$5)</f>
        <v/>
      </c>
      <c r="J100" s="19"/>
    </row>
    <row r="101" customFormat="false" ht="15" hidden="false" customHeight="false" outlineLevel="0" collapsed="false">
      <c r="A101" s="19"/>
      <c r="B101" s="18"/>
      <c r="C101" s="19"/>
      <c r="D101" s="19"/>
      <c r="E101" s="43"/>
      <c r="F101" s="21"/>
      <c r="G101" s="22"/>
      <c r="H101" s="24" t="str">
        <f aca="false">IF(OR(E101="",AND(F101="",G101="")),"",E101*IF(F101&lt;&gt;"",F101,G101/Listes!$D$5))</f>
        <v/>
      </c>
      <c r="I101" s="28" t="str">
        <f aca="false">IF(H101="","",H101*Listes!$D$5)</f>
        <v/>
      </c>
      <c r="J101" s="19"/>
    </row>
    <row r="102" customFormat="false" ht="15" hidden="false" customHeight="false" outlineLevel="0" collapsed="false">
      <c r="A102" s="19"/>
      <c r="B102" s="18"/>
      <c r="C102" s="19"/>
      <c r="D102" s="19"/>
      <c r="E102" s="43"/>
      <c r="F102" s="21"/>
      <c r="G102" s="22"/>
      <c r="H102" s="24" t="str">
        <f aca="false">IF(OR(E102="",AND(F102="",G102="")),"",E102*IF(F102&lt;&gt;"",F102,G102/Listes!$D$5))</f>
        <v/>
      </c>
      <c r="I102" s="28" t="str">
        <f aca="false">IF(H102="","",H102*Listes!$D$5)</f>
        <v/>
      </c>
      <c r="J102" s="19"/>
    </row>
    <row r="103" customFormat="false" ht="15" hidden="false" customHeight="false" outlineLevel="0" collapsed="false">
      <c r="A103" s="19"/>
      <c r="B103" s="18"/>
      <c r="C103" s="19"/>
      <c r="D103" s="19"/>
      <c r="E103" s="43"/>
      <c r="F103" s="21"/>
      <c r="G103" s="22"/>
      <c r="H103" s="24" t="str">
        <f aca="false">IF(OR(E103="",AND(F103="",G103="")),"",E103*IF(F103&lt;&gt;"",F103,G103/Listes!$D$5))</f>
        <v/>
      </c>
      <c r="I103" s="28" t="str">
        <f aca="false">IF(H103="","",H103*Listes!$D$5)</f>
        <v/>
      </c>
      <c r="J103" s="19"/>
    </row>
    <row r="104" customFormat="false" ht="15" hidden="false" customHeight="false" outlineLevel="0" collapsed="false">
      <c r="A104" s="19"/>
      <c r="B104" s="18"/>
      <c r="C104" s="19"/>
      <c r="D104" s="19"/>
      <c r="E104" s="43"/>
      <c r="F104" s="21"/>
      <c r="G104" s="22"/>
      <c r="H104" s="24" t="str">
        <f aca="false">IF(OR(E104="",AND(F104="",G104="")),"",E104*IF(F104&lt;&gt;"",F104,G104/Listes!$D$5))</f>
        <v/>
      </c>
      <c r="I104" s="28" t="str">
        <f aca="false">IF(H104="","",H104*Listes!$D$5)</f>
        <v/>
      </c>
      <c r="J104" s="19"/>
    </row>
    <row r="105" customFormat="false" ht="15" hidden="false" customHeight="false" outlineLevel="0" collapsed="false">
      <c r="A105" s="19"/>
      <c r="B105" s="18"/>
      <c r="C105" s="19"/>
      <c r="D105" s="19"/>
      <c r="E105" s="43"/>
      <c r="F105" s="21"/>
      <c r="G105" s="22"/>
      <c r="H105" s="24" t="str">
        <f aca="false">IF(OR(E105="",AND(F105="",G105="")),"",E105*IF(F105&lt;&gt;"",F105,G105/Listes!$D$5))</f>
        <v/>
      </c>
      <c r="I105" s="28" t="str">
        <f aca="false">IF(H105="","",H105*Listes!$D$5)</f>
        <v/>
      </c>
      <c r="J105" s="19"/>
    </row>
    <row r="106" customFormat="false" ht="15" hidden="false" customHeight="false" outlineLevel="0" collapsed="false">
      <c r="A106" s="19"/>
      <c r="B106" s="18"/>
      <c r="C106" s="19"/>
      <c r="D106" s="19"/>
      <c r="E106" s="43"/>
      <c r="F106" s="21"/>
      <c r="G106" s="22"/>
      <c r="H106" s="24" t="str">
        <f aca="false">IF(OR(E106="",AND(F106="",G106="")),"",E106*IF(F106&lt;&gt;"",F106,G106/Listes!$D$5))</f>
        <v/>
      </c>
      <c r="I106" s="28" t="str">
        <f aca="false">IF(H106="","",H106*Listes!$D$5)</f>
        <v/>
      </c>
      <c r="J106" s="19"/>
    </row>
    <row r="107" customFormat="false" ht="15" hidden="false" customHeight="false" outlineLevel="0" collapsed="false">
      <c r="A107" s="19"/>
      <c r="B107" s="18"/>
      <c r="C107" s="19"/>
      <c r="D107" s="19"/>
      <c r="E107" s="43"/>
      <c r="F107" s="21"/>
      <c r="G107" s="22"/>
      <c r="H107" s="24" t="str">
        <f aca="false">IF(OR(E107="",AND(F107="",G107="")),"",E107*IF(F107&lt;&gt;"",F107,G107/Listes!$D$5))</f>
        <v/>
      </c>
      <c r="I107" s="28" t="str">
        <f aca="false">IF(H107="","",H107*Listes!$D$5)</f>
        <v/>
      </c>
      <c r="J107" s="19"/>
    </row>
    <row r="108" customFormat="false" ht="15" hidden="false" customHeight="false" outlineLevel="0" collapsed="false">
      <c r="A108" s="19"/>
      <c r="B108" s="18"/>
      <c r="C108" s="19"/>
      <c r="D108" s="19"/>
      <c r="E108" s="43"/>
      <c r="F108" s="21"/>
      <c r="G108" s="22"/>
      <c r="H108" s="24" t="str">
        <f aca="false">IF(OR(E108="",AND(F108="",G108="")),"",E108*IF(F108&lt;&gt;"",F108,G108/Listes!$D$5))</f>
        <v/>
      </c>
      <c r="I108" s="28" t="str">
        <f aca="false">IF(H108="","",H108*Listes!$D$5)</f>
        <v/>
      </c>
      <c r="J108" s="19"/>
    </row>
    <row r="109" customFormat="false" ht="15" hidden="false" customHeight="false" outlineLevel="0" collapsed="false">
      <c r="A109" s="19"/>
      <c r="B109" s="18"/>
      <c r="C109" s="19"/>
      <c r="D109" s="19"/>
      <c r="E109" s="43"/>
      <c r="F109" s="21"/>
      <c r="G109" s="22"/>
      <c r="H109" s="24" t="str">
        <f aca="false">IF(OR(E109="",AND(F109="",G109="")),"",E109*IF(F109&lt;&gt;"",F109,G109/Listes!$D$5))</f>
        <v/>
      </c>
      <c r="I109" s="28" t="str">
        <f aca="false">IF(H109="","",H109*Listes!$D$5)</f>
        <v/>
      </c>
      <c r="J109" s="19"/>
    </row>
    <row r="110" customFormat="false" ht="15" hidden="false" customHeight="false" outlineLevel="0" collapsed="false">
      <c r="A110" s="19"/>
      <c r="B110" s="18"/>
      <c r="C110" s="19"/>
      <c r="D110" s="19"/>
      <c r="E110" s="43"/>
      <c r="F110" s="21"/>
      <c r="G110" s="22"/>
      <c r="H110" s="24" t="str">
        <f aca="false">IF(OR(E110="",AND(F110="",G110="")),"",E110*IF(F110&lt;&gt;"",F110,G110/Listes!$D$5))</f>
        <v/>
      </c>
      <c r="I110" s="28" t="str">
        <f aca="false">IF(H110="","",H110*Listes!$D$5)</f>
        <v/>
      </c>
      <c r="J110" s="19"/>
    </row>
    <row r="111" customFormat="false" ht="15" hidden="false" customHeight="false" outlineLevel="0" collapsed="false">
      <c r="A111" s="19"/>
      <c r="B111" s="18"/>
      <c r="C111" s="19"/>
      <c r="D111" s="19"/>
      <c r="E111" s="43"/>
      <c r="F111" s="21"/>
      <c r="G111" s="22"/>
      <c r="H111" s="24" t="str">
        <f aca="false">IF(OR(E111="",AND(F111="",G111="")),"",E111*IF(F111&lt;&gt;"",F111,G111/Listes!$D$5))</f>
        <v/>
      </c>
      <c r="I111" s="28" t="str">
        <f aca="false">IF(H111="","",H111*Listes!$D$5)</f>
        <v/>
      </c>
      <c r="J111" s="19"/>
    </row>
    <row r="112" customFormat="false" ht="15" hidden="false" customHeight="false" outlineLevel="0" collapsed="false">
      <c r="A112" s="19"/>
      <c r="B112" s="18"/>
      <c r="C112" s="19"/>
      <c r="D112" s="19"/>
      <c r="E112" s="43"/>
      <c r="F112" s="21"/>
      <c r="G112" s="22"/>
      <c r="H112" s="24" t="str">
        <f aca="false">IF(OR(E112="",AND(F112="",G112="")),"",E112*IF(F112&lt;&gt;"",F112,G112/Listes!$D$5))</f>
        <v/>
      </c>
      <c r="I112" s="28" t="str">
        <f aca="false">IF(H112="","",H112*Listes!$D$5)</f>
        <v/>
      </c>
      <c r="J112" s="19"/>
    </row>
    <row r="113" customFormat="false" ht="15" hidden="false" customHeight="false" outlineLevel="0" collapsed="false">
      <c r="A113" s="19"/>
      <c r="B113" s="18"/>
      <c r="C113" s="19"/>
      <c r="D113" s="19"/>
      <c r="E113" s="43"/>
      <c r="F113" s="21"/>
      <c r="G113" s="22"/>
      <c r="H113" s="24" t="str">
        <f aca="false">IF(OR(E113="",AND(F113="",G113="")),"",E113*IF(F113&lt;&gt;"",F113,G113/Listes!$D$5))</f>
        <v/>
      </c>
      <c r="I113" s="28" t="str">
        <f aca="false">IF(H113="","",H113*Listes!$D$5)</f>
        <v/>
      </c>
      <c r="J113" s="19"/>
    </row>
    <row r="114" customFormat="false" ht="15" hidden="false" customHeight="false" outlineLevel="0" collapsed="false">
      <c r="A114" s="19"/>
      <c r="B114" s="18"/>
      <c r="C114" s="19"/>
      <c r="D114" s="19"/>
      <c r="E114" s="43"/>
      <c r="F114" s="21"/>
      <c r="G114" s="22"/>
      <c r="H114" s="24" t="str">
        <f aca="false">IF(OR(E114="",AND(F114="",G114="")),"",E114*IF(F114&lt;&gt;"",F114,G114/Listes!$D$5))</f>
        <v/>
      </c>
      <c r="I114" s="28" t="str">
        <f aca="false">IF(H114="","",H114*Listes!$D$5)</f>
        <v/>
      </c>
      <c r="J114" s="19"/>
    </row>
    <row r="115" customFormat="false" ht="15" hidden="false" customHeight="false" outlineLevel="0" collapsed="false">
      <c r="A115" s="19"/>
      <c r="B115" s="18"/>
      <c r="C115" s="19"/>
      <c r="D115" s="19"/>
      <c r="E115" s="43"/>
      <c r="F115" s="21"/>
      <c r="G115" s="22"/>
      <c r="H115" s="24" t="str">
        <f aca="false">IF(OR(E115="",AND(F115="",G115="")),"",E115*IF(F115&lt;&gt;"",F115,G115/Listes!$D$5))</f>
        <v/>
      </c>
      <c r="I115" s="28" t="str">
        <f aca="false">IF(H115="","",H115*Listes!$D$5)</f>
        <v/>
      </c>
      <c r="J115" s="19"/>
    </row>
    <row r="116" customFormat="false" ht="15" hidden="false" customHeight="false" outlineLevel="0" collapsed="false">
      <c r="A116" s="19"/>
      <c r="B116" s="18"/>
      <c r="C116" s="19"/>
      <c r="D116" s="19"/>
      <c r="E116" s="43"/>
      <c r="F116" s="21"/>
      <c r="G116" s="22"/>
      <c r="H116" s="24" t="str">
        <f aca="false">IF(OR(E116="",AND(F116="",G116="")),"",E116*IF(F116&lt;&gt;"",F116,G116/Listes!$D$5))</f>
        <v/>
      </c>
      <c r="I116" s="28" t="str">
        <f aca="false">IF(H116="","",H116*Listes!$D$5)</f>
        <v/>
      </c>
      <c r="J116" s="19"/>
    </row>
    <row r="117" customFormat="false" ht="15" hidden="false" customHeight="false" outlineLevel="0" collapsed="false">
      <c r="A117" s="19"/>
      <c r="B117" s="18"/>
      <c r="C117" s="19"/>
      <c r="D117" s="19"/>
      <c r="E117" s="43"/>
      <c r="F117" s="21"/>
      <c r="G117" s="22"/>
      <c r="H117" s="24" t="str">
        <f aca="false">IF(OR(E117="",AND(F117="",G117="")),"",E117*IF(F117&lt;&gt;"",F117,G117/Listes!$D$5))</f>
        <v/>
      </c>
      <c r="I117" s="28" t="str">
        <f aca="false">IF(H117="","",H117*Listes!$D$5)</f>
        <v/>
      </c>
      <c r="J117" s="19"/>
    </row>
    <row r="118" customFormat="false" ht="15" hidden="false" customHeight="false" outlineLevel="0" collapsed="false">
      <c r="A118" s="19"/>
      <c r="B118" s="18"/>
      <c r="C118" s="19"/>
      <c r="D118" s="19"/>
      <c r="E118" s="43"/>
      <c r="F118" s="21"/>
      <c r="G118" s="22"/>
      <c r="H118" s="24" t="str">
        <f aca="false">IF(OR(E118="",AND(F118="",G118="")),"",E118*IF(F118&lt;&gt;"",F118,G118/Listes!$D$5))</f>
        <v/>
      </c>
      <c r="I118" s="28" t="str">
        <f aca="false">IF(H118="","",H118*Listes!$D$5)</f>
        <v/>
      </c>
      <c r="J118" s="19"/>
    </row>
    <row r="119" customFormat="false" ht="15" hidden="false" customHeight="false" outlineLevel="0" collapsed="false">
      <c r="A119" s="19"/>
      <c r="B119" s="18"/>
      <c r="C119" s="19"/>
      <c r="D119" s="19"/>
      <c r="E119" s="43"/>
      <c r="F119" s="21"/>
      <c r="G119" s="22"/>
      <c r="H119" s="24" t="str">
        <f aca="false">IF(OR(E119="",AND(F119="",G119="")),"",E119*IF(F119&lt;&gt;"",F119,G119/Listes!$D$5))</f>
        <v/>
      </c>
      <c r="I119" s="28" t="str">
        <f aca="false">IF(H119="","",H119*Listes!$D$5)</f>
        <v/>
      </c>
      <c r="J119" s="19"/>
    </row>
    <row r="120" customFormat="false" ht="15" hidden="false" customHeight="false" outlineLevel="0" collapsed="false">
      <c r="A120" s="19"/>
      <c r="B120" s="18"/>
      <c r="C120" s="19"/>
      <c r="D120" s="19"/>
      <c r="E120" s="43"/>
      <c r="F120" s="21"/>
      <c r="G120" s="22"/>
      <c r="H120" s="24" t="str">
        <f aca="false">IF(OR(E120="",AND(F120="",G120="")),"",E120*IF(F120&lt;&gt;"",F120,G120/Listes!$D$5))</f>
        <v/>
      </c>
      <c r="I120" s="28" t="str">
        <f aca="false">IF(H120="","",H120*Listes!$D$5)</f>
        <v/>
      </c>
      <c r="J120" s="19"/>
    </row>
    <row r="121" customFormat="false" ht="15" hidden="false" customHeight="false" outlineLevel="0" collapsed="false">
      <c r="A121" s="19"/>
      <c r="B121" s="18"/>
      <c r="C121" s="19"/>
      <c r="D121" s="19"/>
      <c r="E121" s="43"/>
      <c r="F121" s="21"/>
      <c r="G121" s="22"/>
      <c r="H121" s="24" t="str">
        <f aca="false">IF(OR(E121="",AND(F121="",G121="")),"",E121*IF(F121&lt;&gt;"",F121,G121/Listes!$D$5))</f>
        <v/>
      </c>
      <c r="I121" s="28" t="str">
        <f aca="false">IF(H121="","",H121*Listes!$D$5)</f>
        <v/>
      </c>
      <c r="J121" s="19"/>
    </row>
    <row r="122" customFormat="false" ht="15" hidden="false" customHeight="false" outlineLevel="0" collapsed="false">
      <c r="A122" s="19"/>
      <c r="B122" s="18"/>
      <c r="C122" s="19"/>
      <c r="D122" s="19"/>
      <c r="E122" s="43"/>
      <c r="F122" s="21"/>
      <c r="G122" s="22"/>
      <c r="H122" s="24" t="str">
        <f aca="false">IF(OR(E122="",AND(F122="",G122="")),"",E122*IF(F122&lt;&gt;"",F122,G122/Listes!$D$5))</f>
        <v/>
      </c>
      <c r="I122" s="28" t="str">
        <f aca="false">IF(H122="","",H122*Listes!$D$5)</f>
        <v/>
      </c>
      <c r="J122" s="19"/>
    </row>
    <row r="123" customFormat="false" ht="15" hidden="false" customHeight="false" outlineLevel="0" collapsed="false">
      <c r="A123" s="19"/>
      <c r="B123" s="18"/>
      <c r="C123" s="19"/>
      <c r="D123" s="19"/>
      <c r="E123" s="43"/>
      <c r="F123" s="21"/>
      <c r="G123" s="22"/>
      <c r="H123" s="24" t="str">
        <f aca="false">IF(OR(E123="",AND(F123="",G123="")),"",E123*IF(F123&lt;&gt;"",F123,G123/Listes!$D$5))</f>
        <v/>
      </c>
      <c r="I123" s="28" t="str">
        <f aca="false">IF(H123="","",H123*Listes!$D$5)</f>
        <v/>
      </c>
      <c r="J123" s="19"/>
    </row>
    <row r="124" customFormat="false" ht="15" hidden="false" customHeight="false" outlineLevel="0" collapsed="false">
      <c r="A124" s="19"/>
      <c r="B124" s="18"/>
      <c r="C124" s="19"/>
      <c r="D124" s="19"/>
      <c r="E124" s="43"/>
      <c r="F124" s="21"/>
      <c r="G124" s="22"/>
      <c r="H124" s="24" t="str">
        <f aca="false">IF(OR(E124="",AND(F124="",G124="")),"",E124*IF(F124&lt;&gt;"",F124,G124/Listes!$D$5))</f>
        <v/>
      </c>
      <c r="I124" s="28" t="str">
        <f aca="false">IF(H124="","",H124*Listes!$D$5)</f>
        <v/>
      </c>
      <c r="J124" s="19"/>
    </row>
    <row r="125" customFormat="false" ht="15" hidden="false" customHeight="false" outlineLevel="0" collapsed="false">
      <c r="A125" s="19"/>
      <c r="B125" s="18"/>
      <c r="C125" s="19"/>
      <c r="D125" s="19"/>
      <c r="E125" s="43"/>
      <c r="F125" s="21"/>
      <c r="G125" s="22"/>
      <c r="H125" s="24" t="str">
        <f aca="false">IF(OR(E125="",AND(F125="",G125="")),"",E125*IF(F125&lt;&gt;"",F125,G125/Listes!$D$5))</f>
        <v/>
      </c>
      <c r="I125" s="28" t="str">
        <f aca="false">IF(H125="","",H125*Listes!$D$5)</f>
        <v/>
      </c>
      <c r="J125" s="19"/>
    </row>
    <row r="126" customFormat="false" ht="15" hidden="false" customHeight="false" outlineLevel="0" collapsed="false">
      <c r="A126" s="19"/>
      <c r="B126" s="18"/>
      <c r="C126" s="19"/>
      <c r="D126" s="19"/>
      <c r="E126" s="43"/>
      <c r="F126" s="21"/>
      <c r="G126" s="22"/>
      <c r="H126" s="24" t="str">
        <f aca="false">IF(OR(E126="",AND(F126="",G126="")),"",E126*IF(F126&lt;&gt;"",F126,G126/Listes!$D$5))</f>
        <v/>
      </c>
      <c r="I126" s="28" t="str">
        <f aca="false">IF(H126="","",H126*Listes!$D$5)</f>
        <v/>
      </c>
      <c r="J126" s="19"/>
    </row>
    <row r="127" customFormat="false" ht="15" hidden="false" customHeight="false" outlineLevel="0" collapsed="false">
      <c r="A127" s="19"/>
      <c r="B127" s="18"/>
      <c r="C127" s="19"/>
      <c r="D127" s="19"/>
      <c r="E127" s="43"/>
      <c r="F127" s="21"/>
      <c r="G127" s="22"/>
      <c r="H127" s="24" t="str">
        <f aca="false">IF(OR(E127="",AND(F127="",G127="")),"",E127*IF(F127&lt;&gt;"",F127,G127/Listes!$D$5))</f>
        <v/>
      </c>
      <c r="I127" s="28" t="str">
        <f aca="false">IF(H127="","",H127*Listes!$D$5)</f>
        <v/>
      </c>
      <c r="J127" s="19"/>
    </row>
    <row r="128" customFormat="false" ht="15" hidden="false" customHeight="false" outlineLevel="0" collapsed="false">
      <c r="A128" s="19"/>
      <c r="B128" s="18"/>
      <c r="C128" s="19"/>
      <c r="D128" s="19"/>
      <c r="E128" s="43"/>
      <c r="F128" s="21"/>
      <c r="G128" s="22"/>
      <c r="H128" s="24" t="str">
        <f aca="false">IF(OR(E128="",AND(F128="",G128="")),"",E128*IF(F128&lt;&gt;"",F128,G128/Listes!$D$5))</f>
        <v/>
      </c>
      <c r="I128" s="28" t="str">
        <f aca="false">IF(H128="","",H128*Listes!$D$5)</f>
        <v/>
      </c>
      <c r="J128" s="19"/>
    </row>
    <row r="129" customFormat="false" ht="15" hidden="false" customHeight="false" outlineLevel="0" collapsed="false">
      <c r="A129" s="19"/>
      <c r="B129" s="18"/>
      <c r="C129" s="19"/>
      <c r="D129" s="19"/>
      <c r="E129" s="43"/>
      <c r="F129" s="21"/>
      <c r="G129" s="22"/>
      <c r="H129" s="24" t="str">
        <f aca="false">IF(OR(E129="",AND(F129="",G129="")),"",E129*IF(F129&lt;&gt;"",F129,G129/Listes!$D$5))</f>
        <v/>
      </c>
      <c r="I129" s="28" t="str">
        <f aca="false">IF(H129="","",H129*Listes!$D$5)</f>
        <v/>
      </c>
      <c r="J129" s="19"/>
    </row>
    <row r="130" customFormat="false" ht="15" hidden="false" customHeight="false" outlineLevel="0" collapsed="false">
      <c r="A130" s="19"/>
      <c r="B130" s="18"/>
      <c r="C130" s="19"/>
      <c r="D130" s="19"/>
      <c r="E130" s="43"/>
      <c r="F130" s="21"/>
      <c r="G130" s="22"/>
      <c r="H130" s="24" t="str">
        <f aca="false">IF(OR(E130="",AND(F130="",G130="")),"",E130*IF(F130&lt;&gt;"",F130,G130/Listes!$D$5))</f>
        <v/>
      </c>
      <c r="I130" s="28" t="str">
        <f aca="false">IF(H130="","",H130*Listes!$D$5)</f>
        <v/>
      </c>
      <c r="J130" s="19"/>
    </row>
    <row r="131" customFormat="false" ht="15" hidden="false" customHeight="false" outlineLevel="0" collapsed="false">
      <c r="A131" s="19"/>
      <c r="B131" s="18"/>
      <c r="C131" s="19"/>
      <c r="D131" s="19"/>
      <c r="E131" s="43"/>
      <c r="F131" s="21"/>
      <c r="G131" s="22"/>
      <c r="H131" s="24" t="str">
        <f aca="false">IF(OR(E131="",AND(F131="",G131="")),"",E131*IF(F131&lt;&gt;"",F131,G131/Listes!$D$5))</f>
        <v/>
      </c>
      <c r="I131" s="28" t="str">
        <f aca="false">IF(H131="","",H131*Listes!$D$5)</f>
        <v/>
      </c>
      <c r="J131" s="19"/>
    </row>
    <row r="132" customFormat="false" ht="15" hidden="false" customHeight="false" outlineLevel="0" collapsed="false">
      <c r="A132" s="19"/>
      <c r="B132" s="18"/>
      <c r="C132" s="19"/>
      <c r="D132" s="19"/>
      <c r="E132" s="43"/>
      <c r="F132" s="21"/>
      <c r="G132" s="22"/>
      <c r="H132" s="24" t="str">
        <f aca="false">IF(OR(E132="",AND(F132="",G132="")),"",E132*IF(F132&lt;&gt;"",F132,G132/Listes!$D$5))</f>
        <v/>
      </c>
      <c r="I132" s="28" t="str">
        <f aca="false">IF(H132="","",H132*Listes!$D$5)</f>
        <v/>
      </c>
      <c r="J132" s="19"/>
    </row>
    <row r="133" customFormat="false" ht="15" hidden="false" customHeight="false" outlineLevel="0" collapsed="false">
      <c r="A133" s="19"/>
      <c r="B133" s="18"/>
      <c r="C133" s="19"/>
      <c r="D133" s="19"/>
      <c r="E133" s="43"/>
      <c r="F133" s="21"/>
      <c r="G133" s="22"/>
      <c r="H133" s="24" t="str">
        <f aca="false">IF(OR(E133="",AND(F133="",G133="")),"",E133*IF(F133&lt;&gt;"",F133,G133/Listes!$D$5))</f>
        <v/>
      </c>
      <c r="I133" s="28" t="str">
        <f aca="false">IF(H133="","",H133*Listes!$D$5)</f>
        <v/>
      </c>
      <c r="J133" s="19"/>
    </row>
    <row r="134" customFormat="false" ht="15" hidden="false" customHeight="false" outlineLevel="0" collapsed="false">
      <c r="A134" s="19"/>
      <c r="B134" s="18"/>
      <c r="C134" s="19"/>
      <c r="D134" s="19"/>
      <c r="E134" s="43"/>
      <c r="F134" s="21"/>
      <c r="G134" s="22"/>
      <c r="H134" s="24" t="str">
        <f aca="false">IF(OR(E134="",AND(F134="",G134="")),"",E134*IF(F134&lt;&gt;"",F134,G134/Listes!$D$5))</f>
        <v/>
      </c>
      <c r="I134" s="28" t="str">
        <f aca="false">IF(H134="","",H134*Listes!$D$5)</f>
        <v/>
      </c>
      <c r="J134" s="19"/>
    </row>
    <row r="135" customFormat="false" ht="15" hidden="false" customHeight="false" outlineLevel="0" collapsed="false">
      <c r="A135" s="19"/>
      <c r="B135" s="18"/>
      <c r="C135" s="19"/>
      <c r="D135" s="19"/>
      <c r="E135" s="43"/>
      <c r="F135" s="21"/>
      <c r="G135" s="22"/>
      <c r="H135" s="24" t="str">
        <f aca="false">IF(OR(E135="",AND(F135="",G135="")),"",E135*IF(F135&lt;&gt;"",F135,G135/Listes!$D$5))</f>
        <v/>
      </c>
      <c r="I135" s="28" t="str">
        <f aca="false">IF(H135="","",H135*Listes!$D$5)</f>
        <v/>
      </c>
      <c r="J135" s="19"/>
    </row>
    <row r="136" customFormat="false" ht="15" hidden="false" customHeight="false" outlineLevel="0" collapsed="false">
      <c r="A136" s="19"/>
      <c r="B136" s="18"/>
      <c r="C136" s="19"/>
      <c r="D136" s="19"/>
      <c r="E136" s="43"/>
      <c r="F136" s="21"/>
      <c r="G136" s="22"/>
      <c r="H136" s="24" t="str">
        <f aca="false">IF(OR(E136="",AND(F136="",G136="")),"",E136*IF(F136&lt;&gt;"",F136,G136/Listes!$D$5))</f>
        <v/>
      </c>
      <c r="I136" s="28" t="str">
        <f aca="false">IF(H136="","",H136*Listes!$D$5)</f>
        <v/>
      </c>
      <c r="J136" s="19"/>
    </row>
    <row r="137" customFormat="false" ht="15" hidden="false" customHeight="false" outlineLevel="0" collapsed="false">
      <c r="A137" s="19"/>
      <c r="B137" s="18"/>
      <c r="C137" s="19"/>
      <c r="D137" s="19"/>
      <c r="E137" s="43"/>
      <c r="F137" s="21"/>
      <c r="G137" s="22"/>
      <c r="H137" s="24" t="str">
        <f aca="false">IF(OR(E137="",AND(F137="",G137="")),"",E137*IF(F137&lt;&gt;"",F137,G137/Listes!$D$5))</f>
        <v/>
      </c>
      <c r="I137" s="28" t="str">
        <f aca="false">IF(H137="","",H137*Listes!$D$5)</f>
        <v/>
      </c>
      <c r="J137" s="19"/>
    </row>
    <row r="138" customFormat="false" ht="15" hidden="false" customHeight="false" outlineLevel="0" collapsed="false">
      <c r="A138" s="19"/>
      <c r="B138" s="18"/>
      <c r="C138" s="19"/>
      <c r="D138" s="19"/>
      <c r="E138" s="43"/>
      <c r="F138" s="21"/>
      <c r="G138" s="22"/>
      <c r="H138" s="24" t="str">
        <f aca="false">IF(OR(E138="",AND(F138="",G138="")),"",E138*IF(F138&lt;&gt;"",F138,G138/Listes!$D$5))</f>
        <v/>
      </c>
      <c r="I138" s="28" t="str">
        <f aca="false">IF(H138="","",H138*Listes!$D$5)</f>
        <v/>
      </c>
      <c r="J138" s="19"/>
    </row>
    <row r="139" customFormat="false" ht="15" hidden="false" customHeight="false" outlineLevel="0" collapsed="false">
      <c r="A139" s="19"/>
      <c r="B139" s="18"/>
      <c r="C139" s="19"/>
      <c r="D139" s="19"/>
      <c r="E139" s="43"/>
      <c r="F139" s="21"/>
      <c r="G139" s="22"/>
      <c r="H139" s="24" t="str">
        <f aca="false">IF(OR(E139="",AND(F139="",G139="")),"",E139*IF(F139&lt;&gt;"",F139,G139/Listes!$D$5))</f>
        <v/>
      </c>
      <c r="I139" s="28" t="str">
        <f aca="false">IF(H139="","",H139*Listes!$D$5)</f>
        <v/>
      </c>
      <c r="J139" s="19"/>
    </row>
    <row r="140" customFormat="false" ht="15" hidden="false" customHeight="false" outlineLevel="0" collapsed="false">
      <c r="A140" s="19"/>
      <c r="B140" s="18"/>
      <c r="C140" s="19"/>
      <c r="D140" s="19"/>
      <c r="E140" s="43"/>
      <c r="F140" s="21"/>
      <c r="G140" s="22"/>
      <c r="H140" s="24" t="str">
        <f aca="false">IF(OR(E140="",AND(F140="",G140="")),"",E140*IF(F140&lt;&gt;"",F140,G140/Listes!$D$5))</f>
        <v/>
      </c>
      <c r="I140" s="28" t="str">
        <f aca="false">IF(H140="","",H140*Listes!$D$5)</f>
        <v/>
      </c>
      <c r="J140" s="19"/>
    </row>
    <row r="141" customFormat="false" ht="15" hidden="false" customHeight="false" outlineLevel="0" collapsed="false">
      <c r="A141" s="19"/>
      <c r="B141" s="18"/>
      <c r="C141" s="19"/>
      <c r="D141" s="19"/>
      <c r="E141" s="43"/>
      <c r="F141" s="21"/>
      <c r="G141" s="22"/>
      <c r="H141" s="24" t="str">
        <f aca="false">IF(OR(E141="",AND(F141="",G141="")),"",E141*IF(F141&lt;&gt;"",F141,G141/Listes!$D$5))</f>
        <v/>
      </c>
      <c r="I141" s="28" t="str">
        <f aca="false">IF(H141="","",H141*Listes!$D$5)</f>
        <v/>
      </c>
      <c r="J141" s="19"/>
    </row>
    <row r="142" customFormat="false" ht="15" hidden="false" customHeight="false" outlineLevel="0" collapsed="false">
      <c r="A142" s="19"/>
      <c r="B142" s="18"/>
      <c r="C142" s="19"/>
      <c r="D142" s="19"/>
      <c r="E142" s="43"/>
      <c r="F142" s="21"/>
      <c r="G142" s="22"/>
      <c r="H142" s="24" t="str">
        <f aca="false">IF(OR(E142="",AND(F142="",G142="")),"",E142*IF(F142&lt;&gt;"",F142,G142/Listes!$D$5))</f>
        <v/>
      </c>
      <c r="I142" s="28" t="str">
        <f aca="false">IF(H142="","",H142*Listes!$D$5)</f>
        <v/>
      </c>
      <c r="J142" s="19"/>
    </row>
    <row r="143" customFormat="false" ht="15" hidden="false" customHeight="false" outlineLevel="0" collapsed="false">
      <c r="A143" s="19"/>
      <c r="B143" s="18"/>
      <c r="C143" s="19"/>
      <c r="D143" s="19"/>
      <c r="E143" s="43"/>
      <c r="F143" s="21"/>
      <c r="G143" s="22"/>
      <c r="H143" s="24" t="str">
        <f aca="false">IF(OR(E143="",AND(F143="",G143="")),"",E143*IF(F143&lt;&gt;"",F143,G143/Listes!$D$5))</f>
        <v/>
      </c>
      <c r="I143" s="28" t="str">
        <f aca="false">IF(H143="","",H143*Listes!$D$5)</f>
        <v/>
      </c>
      <c r="J143" s="19"/>
    </row>
    <row r="144" customFormat="false" ht="15" hidden="false" customHeight="false" outlineLevel="0" collapsed="false">
      <c r="A144" s="19"/>
      <c r="B144" s="18"/>
      <c r="C144" s="19"/>
      <c r="D144" s="19"/>
      <c r="E144" s="43"/>
      <c r="F144" s="21"/>
      <c r="G144" s="22"/>
      <c r="H144" s="24" t="str">
        <f aca="false">IF(OR(E144="",AND(F144="",G144="")),"",E144*IF(F144&lt;&gt;"",F144,G144/Listes!$D$5))</f>
        <v/>
      </c>
      <c r="I144" s="28" t="str">
        <f aca="false">IF(H144="","",H144*Listes!$D$5)</f>
        <v/>
      </c>
      <c r="J144" s="19"/>
    </row>
    <row r="145" customFormat="false" ht="15" hidden="false" customHeight="false" outlineLevel="0" collapsed="false">
      <c r="A145" s="19"/>
      <c r="B145" s="18"/>
      <c r="C145" s="19"/>
      <c r="D145" s="19"/>
      <c r="E145" s="43"/>
      <c r="F145" s="21"/>
      <c r="G145" s="22"/>
      <c r="H145" s="24" t="str">
        <f aca="false">IF(OR(E145="",AND(F145="",G145="")),"",E145*IF(F145&lt;&gt;"",F145,G145/Listes!$D$5))</f>
        <v/>
      </c>
      <c r="I145" s="28" t="str">
        <f aca="false">IF(H145="","",H145*Listes!$D$5)</f>
        <v/>
      </c>
      <c r="J145" s="19"/>
    </row>
    <row r="146" customFormat="false" ht="15" hidden="false" customHeight="false" outlineLevel="0" collapsed="false">
      <c r="A146" s="19"/>
      <c r="B146" s="18"/>
      <c r="C146" s="19"/>
      <c r="D146" s="19"/>
      <c r="E146" s="43"/>
      <c r="F146" s="21"/>
      <c r="G146" s="22"/>
      <c r="H146" s="24" t="str">
        <f aca="false">IF(OR(E146="",AND(F146="",G146="")),"",E146*IF(F146&lt;&gt;"",F146,G146/Listes!$D$5))</f>
        <v/>
      </c>
      <c r="I146" s="28" t="str">
        <f aca="false">IF(H146="","",H146*Listes!$D$5)</f>
        <v/>
      </c>
      <c r="J146" s="19"/>
    </row>
    <row r="147" customFormat="false" ht="15" hidden="false" customHeight="false" outlineLevel="0" collapsed="false">
      <c r="A147" s="19"/>
      <c r="B147" s="18"/>
      <c r="C147" s="19"/>
      <c r="D147" s="19"/>
      <c r="E147" s="43"/>
      <c r="F147" s="21"/>
      <c r="G147" s="22"/>
      <c r="H147" s="24" t="str">
        <f aca="false">IF(OR(E147="",AND(F147="",G147="")),"",E147*IF(F147&lt;&gt;"",F147,G147/Listes!$D$5))</f>
        <v/>
      </c>
      <c r="I147" s="28" t="str">
        <f aca="false">IF(H147="","",H147*Listes!$D$5)</f>
        <v/>
      </c>
      <c r="J147" s="19"/>
    </row>
    <row r="148" customFormat="false" ht="15" hidden="false" customHeight="false" outlineLevel="0" collapsed="false">
      <c r="A148" s="19"/>
      <c r="B148" s="18"/>
      <c r="C148" s="19"/>
      <c r="D148" s="19"/>
      <c r="E148" s="43"/>
      <c r="F148" s="21"/>
      <c r="G148" s="22"/>
      <c r="H148" s="24" t="str">
        <f aca="false">IF(OR(E148="",AND(F148="",G148="")),"",E148*IF(F148&lt;&gt;"",F148,G148/Listes!$D$5))</f>
        <v/>
      </c>
      <c r="I148" s="28" t="str">
        <f aca="false">IF(H148="","",H148*Listes!$D$5)</f>
        <v/>
      </c>
      <c r="J148" s="19"/>
    </row>
    <row r="149" customFormat="false" ht="15" hidden="false" customHeight="false" outlineLevel="0" collapsed="false">
      <c r="A149" s="19"/>
      <c r="B149" s="18"/>
      <c r="C149" s="19"/>
      <c r="D149" s="19"/>
      <c r="E149" s="43"/>
      <c r="F149" s="21"/>
      <c r="G149" s="22"/>
      <c r="H149" s="24" t="str">
        <f aca="false">IF(OR(E149="",AND(F149="",G149="")),"",E149*IF(F149&lt;&gt;"",F149,G149/Listes!$D$5))</f>
        <v/>
      </c>
      <c r="I149" s="28" t="str">
        <f aca="false">IF(H149="","",H149*Listes!$D$5)</f>
        <v/>
      </c>
      <c r="J149" s="19"/>
    </row>
    <row r="150" customFormat="false" ht="15" hidden="false" customHeight="false" outlineLevel="0" collapsed="false">
      <c r="A150" s="19"/>
      <c r="B150" s="18"/>
      <c r="C150" s="19"/>
      <c r="D150" s="19"/>
      <c r="E150" s="43"/>
      <c r="F150" s="21"/>
      <c r="G150" s="22"/>
      <c r="H150" s="24" t="str">
        <f aca="false">IF(OR(E150="",AND(F150="",G150="")),"",E150*IF(F150&lt;&gt;"",F150,G150/Listes!$D$5))</f>
        <v/>
      </c>
      <c r="I150" s="28" t="str">
        <f aca="false">IF(H150="","",H150*Listes!$D$5)</f>
        <v/>
      </c>
      <c r="J150" s="19"/>
    </row>
    <row r="151" customFormat="false" ht="15" hidden="false" customHeight="false" outlineLevel="0" collapsed="false">
      <c r="A151" s="19"/>
      <c r="B151" s="18"/>
      <c r="C151" s="19"/>
      <c r="D151" s="19"/>
      <c r="E151" s="43"/>
      <c r="F151" s="21"/>
      <c r="G151" s="22"/>
      <c r="H151" s="24" t="str">
        <f aca="false">IF(OR(E151="",AND(F151="",G151="")),"",E151*IF(F151&lt;&gt;"",F151,G151/Listes!$D$5))</f>
        <v/>
      </c>
      <c r="I151" s="28" t="str">
        <f aca="false">IF(H151="","",H151*Listes!$D$5)</f>
        <v/>
      </c>
      <c r="J151" s="19"/>
    </row>
    <row r="152" customFormat="false" ht="15" hidden="false" customHeight="false" outlineLevel="0" collapsed="false">
      <c r="A152" s="19"/>
      <c r="B152" s="18"/>
      <c r="C152" s="19"/>
      <c r="D152" s="19"/>
      <c r="E152" s="43"/>
      <c r="F152" s="21"/>
      <c r="G152" s="22"/>
      <c r="H152" s="24" t="str">
        <f aca="false">IF(OR(E152="",AND(F152="",G152="")),"",E152*IF(F152&lt;&gt;"",F152,G152/Listes!$D$5))</f>
        <v/>
      </c>
      <c r="I152" s="28" t="str">
        <f aca="false">IF(H152="","",H152*Listes!$D$5)</f>
        <v/>
      </c>
      <c r="J152" s="19"/>
    </row>
    <row r="153" customFormat="false" ht="15" hidden="false" customHeight="false" outlineLevel="0" collapsed="false">
      <c r="A153" s="19"/>
      <c r="B153" s="18"/>
      <c r="C153" s="19"/>
      <c r="D153" s="19"/>
      <c r="E153" s="43"/>
      <c r="F153" s="21"/>
      <c r="G153" s="22"/>
      <c r="H153" s="24" t="str">
        <f aca="false">IF(OR(E153="",AND(F153="",G153="")),"",E153*IF(F153&lt;&gt;"",F153,G153/Listes!$D$5))</f>
        <v/>
      </c>
      <c r="I153" s="28" t="str">
        <f aca="false">IF(H153="","",H153*Listes!$D$5)</f>
        <v/>
      </c>
      <c r="J153" s="19"/>
    </row>
    <row r="154" customFormat="false" ht="15" hidden="false" customHeight="false" outlineLevel="0" collapsed="false">
      <c r="A154" s="19"/>
      <c r="B154" s="18"/>
      <c r="C154" s="19"/>
      <c r="D154" s="19"/>
      <c r="E154" s="43"/>
      <c r="F154" s="21"/>
      <c r="G154" s="22"/>
      <c r="H154" s="24" t="str">
        <f aca="false">IF(OR(E154="",AND(F154="",G154="")),"",E154*IF(F154&lt;&gt;"",F154,G154/Listes!$D$5))</f>
        <v/>
      </c>
      <c r="I154" s="28" t="str">
        <f aca="false">IF(H154="","",H154*Listes!$D$5)</f>
        <v/>
      </c>
      <c r="J154" s="19"/>
    </row>
    <row r="155" customFormat="false" ht="15" hidden="false" customHeight="false" outlineLevel="0" collapsed="false">
      <c r="A155" s="19"/>
      <c r="B155" s="18"/>
      <c r="C155" s="19"/>
      <c r="D155" s="19"/>
      <c r="E155" s="43"/>
      <c r="F155" s="21"/>
      <c r="G155" s="22"/>
      <c r="H155" s="24" t="str">
        <f aca="false">IF(OR(E155="",AND(F155="",G155="")),"",E155*IF(F155&lt;&gt;"",F155,G155/Listes!$D$5))</f>
        <v/>
      </c>
      <c r="I155" s="28" t="str">
        <f aca="false">IF(H155="","",H155*Listes!$D$5)</f>
        <v/>
      </c>
      <c r="J155" s="19"/>
    </row>
    <row r="156" customFormat="false" ht="15" hidden="false" customHeight="false" outlineLevel="0" collapsed="false">
      <c r="A156" s="19"/>
      <c r="B156" s="18"/>
      <c r="C156" s="19"/>
      <c r="D156" s="19"/>
      <c r="E156" s="43"/>
      <c r="F156" s="21"/>
      <c r="G156" s="22"/>
      <c r="H156" s="24" t="str">
        <f aca="false">IF(OR(E156="",AND(F156="",G156="")),"",E156*IF(F156&lt;&gt;"",F156,G156/Listes!$D$5))</f>
        <v/>
      </c>
      <c r="I156" s="28" t="str">
        <f aca="false">IF(H156="","",H156*Listes!$D$5)</f>
        <v/>
      </c>
      <c r="J156" s="19"/>
    </row>
    <row r="157" customFormat="false" ht="15" hidden="false" customHeight="false" outlineLevel="0" collapsed="false">
      <c r="A157" s="19"/>
      <c r="B157" s="18"/>
      <c r="C157" s="19"/>
      <c r="D157" s="19"/>
      <c r="E157" s="43"/>
      <c r="F157" s="21"/>
      <c r="G157" s="22"/>
      <c r="H157" s="24" t="str">
        <f aca="false">IF(OR(E157="",AND(F157="",G157="")),"",E157*IF(F157&lt;&gt;"",F157,G157/Listes!$D$5))</f>
        <v/>
      </c>
      <c r="I157" s="28" t="str">
        <f aca="false">IF(H157="","",H157*Listes!$D$5)</f>
        <v/>
      </c>
      <c r="J157" s="19"/>
    </row>
    <row r="158" customFormat="false" ht="15" hidden="false" customHeight="false" outlineLevel="0" collapsed="false">
      <c r="A158" s="19"/>
      <c r="B158" s="18"/>
      <c r="C158" s="19"/>
      <c r="D158" s="19"/>
      <c r="E158" s="43"/>
      <c r="F158" s="21"/>
      <c r="G158" s="22"/>
      <c r="H158" s="24" t="str">
        <f aca="false">IF(OR(E158="",AND(F158="",G158="")),"",E158*IF(F158&lt;&gt;"",F158,G158/Listes!$D$5))</f>
        <v/>
      </c>
      <c r="I158" s="28" t="str">
        <f aca="false">IF(H158="","",H158*Listes!$D$5)</f>
        <v/>
      </c>
      <c r="J158" s="19"/>
    </row>
    <row r="159" customFormat="false" ht="15" hidden="false" customHeight="false" outlineLevel="0" collapsed="false">
      <c r="A159" s="19"/>
      <c r="B159" s="18"/>
      <c r="C159" s="19"/>
      <c r="D159" s="19"/>
      <c r="E159" s="43"/>
      <c r="F159" s="21"/>
      <c r="G159" s="22"/>
      <c r="H159" s="24" t="str">
        <f aca="false">IF(OR(E159="",AND(F159="",G159="")),"",E159*IF(F159&lt;&gt;"",F159,G159/Listes!$D$5))</f>
        <v/>
      </c>
      <c r="I159" s="28" t="str">
        <f aca="false">IF(H159="","",H159*Listes!$D$5)</f>
        <v/>
      </c>
      <c r="J159" s="19"/>
    </row>
    <row r="160" customFormat="false" ht="15" hidden="false" customHeight="false" outlineLevel="0" collapsed="false">
      <c r="A160" s="19"/>
      <c r="B160" s="18"/>
      <c r="C160" s="19"/>
      <c r="D160" s="19"/>
      <c r="E160" s="43"/>
      <c r="F160" s="21"/>
      <c r="G160" s="22"/>
      <c r="H160" s="24" t="str">
        <f aca="false">IF(OR(E160="",AND(F160="",G160="")),"",E160*IF(F160&lt;&gt;"",F160,G160/Listes!$D$5))</f>
        <v/>
      </c>
      <c r="I160" s="28" t="str">
        <f aca="false">IF(H160="","",H160*Listes!$D$5)</f>
        <v/>
      </c>
      <c r="J160" s="19"/>
    </row>
    <row r="161" customFormat="false" ht="15" hidden="false" customHeight="false" outlineLevel="0" collapsed="false">
      <c r="A161" s="19"/>
      <c r="B161" s="18"/>
      <c r="C161" s="19"/>
      <c r="D161" s="19"/>
      <c r="E161" s="43"/>
      <c r="F161" s="21"/>
      <c r="G161" s="22"/>
      <c r="H161" s="24" t="str">
        <f aca="false">IF(OR(E161="",AND(F161="",G161="")),"",E161*IF(F161&lt;&gt;"",F161,G161/Listes!$D$5))</f>
        <v/>
      </c>
      <c r="I161" s="28" t="str">
        <f aca="false">IF(H161="","",H161*Listes!$D$5)</f>
        <v/>
      </c>
      <c r="J161" s="19"/>
    </row>
    <row r="162" customFormat="false" ht="15" hidden="false" customHeight="false" outlineLevel="0" collapsed="false">
      <c r="A162" s="19"/>
      <c r="B162" s="18"/>
      <c r="C162" s="19"/>
      <c r="D162" s="19"/>
      <c r="E162" s="43"/>
      <c r="F162" s="21"/>
      <c r="G162" s="22"/>
      <c r="H162" s="24" t="str">
        <f aca="false">IF(OR(E162="",AND(F162="",G162="")),"",E162*IF(F162&lt;&gt;"",F162,G162/Listes!$D$5))</f>
        <v/>
      </c>
      <c r="I162" s="28" t="str">
        <f aca="false">IF(H162="","",H162*Listes!$D$5)</f>
        <v/>
      </c>
      <c r="J162" s="19"/>
    </row>
    <row r="163" customFormat="false" ht="15" hidden="false" customHeight="false" outlineLevel="0" collapsed="false">
      <c r="A163" s="19"/>
      <c r="B163" s="18"/>
      <c r="C163" s="19"/>
      <c r="D163" s="19"/>
      <c r="E163" s="43"/>
      <c r="F163" s="21"/>
      <c r="G163" s="22"/>
      <c r="H163" s="24" t="str">
        <f aca="false">IF(OR(E163="",AND(F163="",G163="")),"",E163*IF(F163&lt;&gt;"",F163,G163/Listes!$D$5))</f>
        <v/>
      </c>
      <c r="I163" s="28" t="str">
        <f aca="false">IF(H163="","",H163*Listes!$D$5)</f>
        <v/>
      </c>
      <c r="J163" s="19"/>
    </row>
    <row r="164" customFormat="false" ht="15" hidden="false" customHeight="false" outlineLevel="0" collapsed="false">
      <c r="A164" s="19"/>
      <c r="B164" s="18"/>
      <c r="C164" s="19"/>
      <c r="D164" s="19"/>
      <c r="E164" s="43"/>
      <c r="F164" s="21"/>
      <c r="G164" s="22"/>
      <c r="H164" s="24" t="str">
        <f aca="false">IF(OR(E164="",AND(F164="",G164="")),"",E164*IF(F164&lt;&gt;"",F164,G164/Listes!$D$5))</f>
        <v/>
      </c>
      <c r="I164" s="28" t="str">
        <f aca="false">IF(H164="","",H164*Listes!$D$5)</f>
        <v/>
      </c>
      <c r="J164" s="19"/>
    </row>
    <row r="165" customFormat="false" ht="15" hidden="false" customHeight="false" outlineLevel="0" collapsed="false">
      <c r="A165" s="19"/>
      <c r="B165" s="18"/>
      <c r="C165" s="19"/>
      <c r="D165" s="19"/>
      <c r="E165" s="43"/>
      <c r="F165" s="21"/>
      <c r="G165" s="22"/>
      <c r="H165" s="24" t="str">
        <f aca="false">IF(OR(E165="",AND(F165="",G165="")),"",E165*IF(F165&lt;&gt;"",F165,G165/Listes!$D$5))</f>
        <v/>
      </c>
      <c r="I165" s="28" t="str">
        <f aca="false">IF(H165="","",H165*Listes!$D$5)</f>
        <v/>
      </c>
      <c r="J165" s="19"/>
    </row>
    <row r="166" customFormat="false" ht="15" hidden="false" customHeight="false" outlineLevel="0" collapsed="false">
      <c r="A166" s="19"/>
      <c r="B166" s="18"/>
      <c r="C166" s="19"/>
      <c r="D166" s="19"/>
      <c r="E166" s="43"/>
      <c r="F166" s="21"/>
      <c r="G166" s="22"/>
      <c r="H166" s="24" t="str">
        <f aca="false">IF(OR(E166="",AND(F166="",G166="")),"",E166*IF(F166&lt;&gt;"",F166,G166/Listes!$D$5))</f>
        <v/>
      </c>
      <c r="I166" s="28" t="str">
        <f aca="false">IF(H166="","",H166*Listes!$D$5)</f>
        <v/>
      </c>
      <c r="J166" s="19"/>
    </row>
    <row r="167" customFormat="false" ht="15" hidden="false" customHeight="false" outlineLevel="0" collapsed="false">
      <c r="A167" s="19"/>
      <c r="B167" s="18"/>
      <c r="C167" s="19"/>
      <c r="D167" s="19"/>
      <c r="E167" s="43"/>
      <c r="F167" s="21"/>
      <c r="G167" s="22"/>
      <c r="H167" s="24" t="str">
        <f aca="false">IF(OR(E167="",AND(F167="",G167="")),"",E167*IF(F167&lt;&gt;"",F167,G167/Listes!$D$5))</f>
        <v/>
      </c>
      <c r="I167" s="28" t="str">
        <f aca="false">IF(H167="","",H167*Listes!$D$5)</f>
        <v/>
      </c>
      <c r="J167" s="19"/>
    </row>
    <row r="168" customFormat="false" ht="15" hidden="false" customHeight="false" outlineLevel="0" collapsed="false">
      <c r="A168" s="19"/>
      <c r="B168" s="18"/>
      <c r="C168" s="19"/>
      <c r="D168" s="19"/>
      <c r="E168" s="43"/>
      <c r="F168" s="21"/>
      <c r="G168" s="22"/>
      <c r="H168" s="24" t="str">
        <f aca="false">IF(OR(E168="",AND(F168="",G168="")),"",E168*IF(F168&lt;&gt;"",F168,G168/Listes!$D$5))</f>
        <v/>
      </c>
      <c r="I168" s="28" t="str">
        <f aca="false">IF(H168="","",H168*Listes!$D$5)</f>
        <v/>
      </c>
      <c r="J168" s="19"/>
    </row>
    <row r="169" customFormat="false" ht="15" hidden="false" customHeight="false" outlineLevel="0" collapsed="false">
      <c r="A169" s="19"/>
      <c r="B169" s="18"/>
      <c r="C169" s="19"/>
      <c r="D169" s="19"/>
      <c r="E169" s="43"/>
      <c r="F169" s="21"/>
      <c r="G169" s="22"/>
      <c r="H169" s="24" t="str">
        <f aca="false">IF(OR(E169="",AND(F169="",G169="")),"",E169*IF(F169&lt;&gt;"",F169,G169/Listes!$D$5))</f>
        <v/>
      </c>
      <c r="I169" s="28" t="str">
        <f aca="false">IF(H169="","",H169*Listes!$D$5)</f>
        <v/>
      </c>
      <c r="J169" s="19"/>
    </row>
    <row r="170" customFormat="false" ht="15" hidden="false" customHeight="false" outlineLevel="0" collapsed="false">
      <c r="A170" s="19"/>
      <c r="B170" s="18"/>
      <c r="C170" s="19"/>
      <c r="D170" s="19"/>
      <c r="E170" s="43"/>
      <c r="F170" s="21"/>
      <c r="G170" s="22"/>
      <c r="H170" s="24" t="str">
        <f aca="false">IF(OR(E170="",AND(F170="",G170="")),"",E170*IF(F170&lt;&gt;"",F170,G170/Listes!$D$5))</f>
        <v/>
      </c>
      <c r="I170" s="28" t="str">
        <f aca="false">IF(H170="","",H170*Listes!$D$5)</f>
        <v/>
      </c>
      <c r="J170" s="19"/>
    </row>
    <row r="171" customFormat="false" ht="15" hidden="false" customHeight="false" outlineLevel="0" collapsed="false">
      <c r="A171" s="19"/>
      <c r="B171" s="18"/>
      <c r="C171" s="19"/>
      <c r="D171" s="19"/>
      <c r="E171" s="43"/>
      <c r="F171" s="21"/>
      <c r="G171" s="22"/>
      <c r="H171" s="24" t="str">
        <f aca="false">IF(OR(E171="",AND(F171="",G171="")),"",E171*IF(F171&lt;&gt;"",F171,G171/Listes!$D$5))</f>
        <v/>
      </c>
      <c r="I171" s="28" t="str">
        <f aca="false">IF(H171="","",H171*Listes!$D$5)</f>
        <v/>
      </c>
      <c r="J171" s="19"/>
    </row>
    <row r="172" customFormat="false" ht="15" hidden="false" customHeight="false" outlineLevel="0" collapsed="false">
      <c r="A172" s="19"/>
      <c r="B172" s="18"/>
      <c r="C172" s="19"/>
      <c r="D172" s="19"/>
      <c r="E172" s="43"/>
      <c r="F172" s="21"/>
      <c r="G172" s="22"/>
      <c r="H172" s="24" t="str">
        <f aca="false">IF(OR(E172="",AND(F172="",G172="")),"",E172*IF(F172&lt;&gt;"",F172,G172/Listes!$D$5))</f>
        <v/>
      </c>
      <c r="I172" s="28" t="str">
        <f aca="false">IF(H172="","",H172*Listes!$D$5)</f>
        <v/>
      </c>
      <c r="J172" s="19"/>
    </row>
    <row r="173" customFormat="false" ht="15" hidden="false" customHeight="false" outlineLevel="0" collapsed="false">
      <c r="A173" s="19"/>
      <c r="B173" s="18"/>
      <c r="C173" s="19"/>
      <c r="D173" s="19"/>
      <c r="E173" s="43"/>
      <c r="F173" s="21"/>
      <c r="G173" s="22"/>
      <c r="H173" s="24" t="str">
        <f aca="false">IF(OR(E173="",AND(F173="",G173="")),"",E173*IF(F173&lt;&gt;"",F173,G173/Listes!$D$5))</f>
        <v/>
      </c>
      <c r="I173" s="28" t="str">
        <f aca="false">IF(H173="","",H173*Listes!$D$5)</f>
        <v/>
      </c>
      <c r="J173" s="19"/>
    </row>
    <row r="174" customFormat="false" ht="15" hidden="false" customHeight="false" outlineLevel="0" collapsed="false">
      <c r="A174" s="19"/>
      <c r="B174" s="18"/>
      <c r="C174" s="19"/>
      <c r="D174" s="19"/>
      <c r="E174" s="43"/>
      <c r="F174" s="21"/>
      <c r="G174" s="22"/>
      <c r="H174" s="24" t="str">
        <f aca="false">IF(OR(E174="",AND(F174="",G174="")),"",E174*IF(F174&lt;&gt;"",F174,G174/Listes!$D$5))</f>
        <v/>
      </c>
      <c r="I174" s="28" t="str">
        <f aca="false">IF(H174="","",H174*Listes!$D$5)</f>
        <v/>
      </c>
      <c r="J174" s="19"/>
    </row>
    <row r="175" customFormat="false" ht="15" hidden="false" customHeight="false" outlineLevel="0" collapsed="false">
      <c r="A175" s="19"/>
      <c r="B175" s="18"/>
      <c r="C175" s="19"/>
      <c r="D175" s="19"/>
      <c r="E175" s="43"/>
      <c r="F175" s="21"/>
      <c r="G175" s="22"/>
      <c r="H175" s="24" t="str">
        <f aca="false">IF(OR(E175="",AND(F175="",G175="")),"",E175*IF(F175&lt;&gt;"",F175,G175/Listes!$D$5))</f>
        <v/>
      </c>
      <c r="I175" s="28" t="str">
        <f aca="false">IF(H175="","",H175*Listes!$D$5)</f>
        <v/>
      </c>
      <c r="J175" s="19"/>
    </row>
    <row r="176" customFormat="false" ht="15" hidden="false" customHeight="false" outlineLevel="0" collapsed="false">
      <c r="A176" s="19"/>
      <c r="B176" s="18"/>
      <c r="C176" s="19"/>
      <c r="D176" s="19"/>
      <c r="E176" s="43"/>
      <c r="F176" s="21"/>
      <c r="G176" s="22"/>
      <c r="H176" s="24" t="str">
        <f aca="false">IF(OR(E176="",AND(F176="",G176="")),"",E176*IF(F176&lt;&gt;"",F176,G176/Listes!$D$5))</f>
        <v/>
      </c>
      <c r="I176" s="28" t="str">
        <f aca="false">IF(H176="","",H176*Listes!$D$5)</f>
        <v/>
      </c>
      <c r="J176" s="19"/>
    </row>
    <row r="177" customFormat="false" ht="15" hidden="false" customHeight="false" outlineLevel="0" collapsed="false">
      <c r="A177" s="19"/>
      <c r="B177" s="18"/>
      <c r="C177" s="19"/>
      <c r="D177" s="19"/>
      <c r="E177" s="43"/>
      <c r="F177" s="21"/>
      <c r="G177" s="22"/>
      <c r="H177" s="24" t="str">
        <f aca="false">IF(OR(E177="",AND(F177="",G177="")),"",E177*IF(F177&lt;&gt;"",F177,G177/Listes!$D$5))</f>
        <v/>
      </c>
      <c r="I177" s="28" t="str">
        <f aca="false">IF(H177="","",H177*Listes!$D$5)</f>
        <v/>
      </c>
      <c r="J177" s="19"/>
    </row>
    <row r="178" customFormat="false" ht="15" hidden="false" customHeight="false" outlineLevel="0" collapsed="false">
      <c r="A178" s="19"/>
      <c r="B178" s="18"/>
      <c r="C178" s="19"/>
      <c r="D178" s="19"/>
      <c r="E178" s="43"/>
      <c r="F178" s="21"/>
      <c r="G178" s="22"/>
      <c r="H178" s="24" t="str">
        <f aca="false">IF(OR(E178="",AND(F178="",G178="")),"",E178*IF(F178&lt;&gt;"",F178,G178/Listes!$D$5))</f>
        <v/>
      </c>
      <c r="I178" s="28" t="str">
        <f aca="false">IF(H178="","",H178*Listes!$D$5)</f>
        <v/>
      </c>
      <c r="J178" s="19"/>
    </row>
    <row r="179" customFormat="false" ht="15" hidden="false" customHeight="false" outlineLevel="0" collapsed="false">
      <c r="A179" s="19"/>
      <c r="B179" s="18"/>
      <c r="C179" s="19"/>
      <c r="D179" s="19"/>
      <c r="E179" s="43"/>
      <c r="F179" s="21"/>
      <c r="G179" s="22"/>
      <c r="H179" s="24" t="str">
        <f aca="false">IF(OR(E179="",AND(F179="",G179="")),"",E179*IF(F179&lt;&gt;"",F179,G179/Listes!$D$5))</f>
        <v/>
      </c>
      <c r="I179" s="28" t="str">
        <f aca="false">IF(H179="","",H179*Listes!$D$5)</f>
        <v/>
      </c>
      <c r="J179" s="19"/>
    </row>
    <row r="180" customFormat="false" ht="15" hidden="false" customHeight="false" outlineLevel="0" collapsed="false">
      <c r="A180" s="19"/>
      <c r="B180" s="18"/>
      <c r="C180" s="19"/>
      <c r="D180" s="19"/>
      <c r="E180" s="43"/>
      <c r="F180" s="21"/>
      <c r="G180" s="22"/>
      <c r="H180" s="24" t="str">
        <f aca="false">IF(OR(E180="",AND(F180="",G180="")),"",E180*IF(F180&lt;&gt;"",F180,G180/Listes!$D$5))</f>
        <v/>
      </c>
      <c r="I180" s="28" t="str">
        <f aca="false">IF(H180="","",H180*Listes!$D$5)</f>
        <v/>
      </c>
      <c r="J180" s="19"/>
    </row>
    <row r="181" customFormat="false" ht="15" hidden="false" customHeight="false" outlineLevel="0" collapsed="false">
      <c r="A181" s="19"/>
      <c r="B181" s="18"/>
      <c r="C181" s="19"/>
      <c r="D181" s="19"/>
      <c r="E181" s="43"/>
      <c r="F181" s="21"/>
      <c r="G181" s="22"/>
      <c r="H181" s="24" t="str">
        <f aca="false">IF(OR(E181="",AND(F181="",G181="")),"",E181*IF(F181&lt;&gt;"",F181,G181/Listes!$D$5))</f>
        <v/>
      </c>
      <c r="I181" s="28" t="str">
        <f aca="false">IF(H181="","",H181*Listes!$D$5)</f>
        <v/>
      </c>
      <c r="J181" s="19"/>
    </row>
    <row r="182" customFormat="false" ht="15" hidden="false" customHeight="false" outlineLevel="0" collapsed="false">
      <c r="A182" s="19"/>
      <c r="B182" s="18"/>
      <c r="C182" s="19"/>
      <c r="D182" s="19"/>
      <c r="E182" s="43"/>
      <c r="F182" s="21"/>
      <c r="G182" s="22"/>
      <c r="H182" s="24" t="str">
        <f aca="false">IF(OR(E182="",AND(F182="",G182="")),"",E182*IF(F182&lt;&gt;"",F182,G182/Listes!$D$5))</f>
        <v/>
      </c>
      <c r="I182" s="28" t="str">
        <f aca="false">IF(H182="","",H182*Listes!$D$5)</f>
        <v/>
      </c>
      <c r="J182" s="19"/>
    </row>
    <row r="183" customFormat="false" ht="15" hidden="false" customHeight="false" outlineLevel="0" collapsed="false">
      <c r="A183" s="19"/>
      <c r="B183" s="18"/>
      <c r="C183" s="19"/>
      <c r="D183" s="19"/>
      <c r="E183" s="43"/>
      <c r="F183" s="21"/>
      <c r="G183" s="22"/>
      <c r="H183" s="24" t="str">
        <f aca="false">IF(OR(E183="",AND(F183="",G183="")),"",E183*IF(F183&lt;&gt;"",F183,G183/Listes!$D$5))</f>
        <v/>
      </c>
      <c r="I183" s="28" t="str">
        <f aca="false">IF(H183="","",H183*Listes!$D$5)</f>
        <v/>
      </c>
      <c r="J183" s="19"/>
    </row>
    <row r="184" customFormat="false" ht="15" hidden="false" customHeight="false" outlineLevel="0" collapsed="false">
      <c r="A184" s="19"/>
      <c r="B184" s="18"/>
      <c r="C184" s="19"/>
      <c r="D184" s="19"/>
      <c r="E184" s="43"/>
      <c r="F184" s="21"/>
      <c r="G184" s="22"/>
      <c r="H184" s="24" t="str">
        <f aca="false">IF(OR(E184="",AND(F184="",G184="")),"",E184*IF(F184&lt;&gt;"",F184,G184/Listes!$D$5))</f>
        <v/>
      </c>
      <c r="I184" s="28" t="str">
        <f aca="false">IF(H184="","",H184*Listes!$D$5)</f>
        <v/>
      </c>
      <c r="J184" s="19"/>
    </row>
    <row r="185" customFormat="false" ht="15" hidden="false" customHeight="false" outlineLevel="0" collapsed="false">
      <c r="A185" s="19"/>
      <c r="B185" s="18"/>
      <c r="C185" s="19"/>
      <c r="D185" s="19"/>
      <c r="E185" s="43"/>
      <c r="F185" s="21"/>
      <c r="G185" s="22"/>
      <c r="H185" s="24" t="str">
        <f aca="false">IF(OR(E185="",AND(F185="",G185="")),"",E185*IF(F185&lt;&gt;"",F185,G185/Listes!$D$5))</f>
        <v/>
      </c>
      <c r="I185" s="28" t="str">
        <f aca="false">IF(H185="","",H185*Listes!$D$5)</f>
        <v/>
      </c>
      <c r="J185" s="19"/>
    </row>
    <row r="186" customFormat="false" ht="15" hidden="false" customHeight="false" outlineLevel="0" collapsed="false">
      <c r="A186" s="19"/>
      <c r="B186" s="18"/>
      <c r="C186" s="19"/>
      <c r="D186" s="19"/>
      <c r="E186" s="43"/>
      <c r="F186" s="21"/>
      <c r="G186" s="22"/>
      <c r="H186" s="24" t="str">
        <f aca="false">IF(OR(E186="",AND(F186="",G186="")),"",E186*IF(F186&lt;&gt;"",F186,G186/Listes!$D$5))</f>
        <v/>
      </c>
      <c r="I186" s="28" t="str">
        <f aca="false">IF(H186="","",H186*Listes!$D$5)</f>
        <v/>
      </c>
      <c r="J186" s="19"/>
    </row>
    <row r="187" customFormat="false" ht="15" hidden="false" customHeight="false" outlineLevel="0" collapsed="false">
      <c r="A187" s="19"/>
      <c r="B187" s="18"/>
      <c r="C187" s="19"/>
      <c r="D187" s="19"/>
      <c r="E187" s="43"/>
      <c r="F187" s="21"/>
      <c r="G187" s="22"/>
      <c r="H187" s="24" t="str">
        <f aca="false">IF(OR(E187="",AND(F187="",G187="")),"",E187*IF(F187&lt;&gt;"",F187,G187/Listes!$D$5))</f>
        <v/>
      </c>
      <c r="I187" s="28" t="str">
        <f aca="false">IF(H187="","",H187*Listes!$D$5)</f>
        <v/>
      </c>
      <c r="J187" s="19"/>
    </row>
    <row r="188" customFormat="false" ht="15" hidden="false" customHeight="false" outlineLevel="0" collapsed="false">
      <c r="A188" s="19"/>
      <c r="B188" s="18"/>
      <c r="C188" s="19"/>
      <c r="D188" s="19"/>
      <c r="E188" s="43"/>
      <c r="F188" s="21"/>
      <c r="G188" s="22"/>
      <c r="H188" s="24" t="str">
        <f aca="false">IF(OR(E188="",AND(F188="",G188="")),"",E188*IF(F188&lt;&gt;"",F188,G188/Listes!$D$5))</f>
        <v/>
      </c>
      <c r="I188" s="28" t="str">
        <f aca="false">IF(H188="","",H188*Listes!$D$5)</f>
        <v/>
      </c>
      <c r="J188" s="19"/>
    </row>
    <row r="189" customFormat="false" ht="15" hidden="false" customHeight="false" outlineLevel="0" collapsed="false">
      <c r="A189" s="19"/>
      <c r="B189" s="18"/>
      <c r="C189" s="19"/>
      <c r="D189" s="19"/>
      <c r="E189" s="43"/>
      <c r="F189" s="21"/>
      <c r="G189" s="22"/>
      <c r="H189" s="24" t="str">
        <f aca="false">IF(OR(E189="",AND(F189="",G189="")),"",E189*IF(F189&lt;&gt;"",F189,G189/Listes!$D$5))</f>
        <v/>
      </c>
      <c r="I189" s="28" t="str">
        <f aca="false">IF(H189="","",H189*Listes!$D$5)</f>
        <v/>
      </c>
      <c r="J189" s="19"/>
    </row>
    <row r="190" customFormat="false" ht="15" hidden="false" customHeight="false" outlineLevel="0" collapsed="false">
      <c r="A190" s="19"/>
      <c r="B190" s="18"/>
      <c r="C190" s="19"/>
      <c r="D190" s="19"/>
      <c r="E190" s="43"/>
      <c r="F190" s="21"/>
      <c r="G190" s="22"/>
      <c r="H190" s="24" t="str">
        <f aca="false">IF(OR(E190="",AND(F190="",G190="")),"",E190*IF(F190&lt;&gt;"",F190,G190/Listes!$D$5))</f>
        <v/>
      </c>
      <c r="I190" s="28" t="str">
        <f aca="false">IF(H190="","",H190*Listes!$D$5)</f>
        <v/>
      </c>
      <c r="J190" s="19"/>
    </row>
    <row r="191" customFormat="false" ht="15" hidden="false" customHeight="false" outlineLevel="0" collapsed="false">
      <c r="A191" s="19"/>
      <c r="B191" s="18"/>
      <c r="C191" s="19"/>
      <c r="D191" s="19"/>
      <c r="E191" s="43"/>
      <c r="F191" s="21"/>
      <c r="G191" s="22"/>
      <c r="H191" s="24" t="str">
        <f aca="false">IF(OR(E191="",AND(F191="",G191="")),"",E191*IF(F191&lt;&gt;"",F191,G191/Listes!$D$5))</f>
        <v/>
      </c>
      <c r="I191" s="28" t="str">
        <f aca="false">IF(H191="","",H191*Listes!$D$5)</f>
        <v/>
      </c>
      <c r="J191" s="19"/>
    </row>
    <row r="192" customFormat="false" ht="15" hidden="false" customHeight="false" outlineLevel="0" collapsed="false">
      <c r="A192" s="19"/>
      <c r="B192" s="18"/>
      <c r="C192" s="19"/>
      <c r="D192" s="19"/>
      <c r="E192" s="43"/>
      <c r="F192" s="21"/>
      <c r="G192" s="22"/>
      <c r="H192" s="24" t="str">
        <f aca="false">IF(OR(E192="",AND(F192="",G192="")),"",E192*IF(F192&lt;&gt;"",F192,G192/Listes!$D$5))</f>
        <v/>
      </c>
      <c r="I192" s="28" t="str">
        <f aca="false">IF(H192="","",H192*Listes!$D$5)</f>
        <v/>
      </c>
      <c r="J192" s="19"/>
    </row>
    <row r="193" customFormat="false" ht="15" hidden="false" customHeight="false" outlineLevel="0" collapsed="false">
      <c r="A193" s="19"/>
      <c r="B193" s="18"/>
      <c r="C193" s="19"/>
      <c r="D193" s="19"/>
      <c r="E193" s="43"/>
      <c r="F193" s="21"/>
      <c r="G193" s="22"/>
      <c r="H193" s="24" t="str">
        <f aca="false">IF(OR(E193="",AND(F193="",G193="")),"",E193*IF(F193&lt;&gt;"",F193,G193/Listes!$D$5))</f>
        <v/>
      </c>
      <c r="I193" s="28" t="str">
        <f aca="false">IF(H193="","",H193*Listes!$D$5)</f>
        <v/>
      </c>
      <c r="J193" s="19"/>
    </row>
    <row r="194" customFormat="false" ht="15" hidden="false" customHeight="false" outlineLevel="0" collapsed="false">
      <c r="A194" s="19"/>
      <c r="B194" s="18"/>
      <c r="C194" s="19"/>
      <c r="D194" s="19"/>
      <c r="E194" s="43"/>
      <c r="F194" s="21"/>
      <c r="G194" s="22"/>
      <c r="H194" s="24" t="str">
        <f aca="false">IF(OR(E194="",AND(F194="",G194="")),"",E194*IF(F194&lt;&gt;"",F194,G194/Listes!$D$5))</f>
        <v/>
      </c>
      <c r="I194" s="28" t="str">
        <f aca="false">IF(H194="","",H194*Listes!$D$5)</f>
        <v/>
      </c>
      <c r="J194" s="19"/>
    </row>
    <row r="195" customFormat="false" ht="15" hidden="false" customHeight="false" outlineLevel="0" collapsed="false">
      <c r="A195" s="19"/>
      <c r="B195" s="18"/>
      <c r="C195" s="19"/>
      <c r="D195" s="19"/>
      <c r="E195" s="43"/>
      <c r="F195" s="21"/>
      <c r="G195" s="22"/>
      <c r="H195" s="24" t="str">
        <f aca="false">IF(OR(E195="",AND(F195="",G195="")),"",E195*IF(F195&lt;&gt;"",F195,G195/Listes!$D$5))</f>
        <v/>
      </c>
      <c r="I195" s="28" t="str">
        <f aca="false">IF(H195="","",H195*Listes!$D$5)</f>
        <v/>
      </c>
      <c r="J195" s="19"/>
    </row>
    <row r="196" customFormat="false" ht="15" hidden="false" customHeight="false" outlineLevel="0" collapsed="false">
      <c r="A196" s="19"/>
      <c r="B196" s="18"/>
      <c r="C196" s="19"/>
      <c r="D196" s="19"/>
      <c r="E196" s="43"/>
      <c r="F196" s="21"/>
      <c r="G196" s="22"/>
      <c r="H196" s="24" t="str">
        <f aca="false">IF(OR(E196="",AND(F196="",G196="")),"",E196*IF(F196&lt;&gt;"",F196,G196/Listes!$D$5))</f>
        <v/>
      </c>
      <c r="I196" s="28" t="str">
        <f aca="false">IF(H196="","",H196*Listes!$D$5)</f>
        <v/>
      </c>
      <c r="J196" s="19"/>
    </row>
    <row r="197" customFormat="false" ht="15" hidden="false" customHeight="false" outlineLevel="0" collapsed="false">
      <c r="A197" s="19"/>
      <c r="B197" s="18"/>
      <c r="C197" s="19"/>
      <c r="D197" s="19"/>
      <c r="E197" s="43"/>
      <c r="F197" s="21"/>
      <c r="G197" s="22"/>
      <c r="H197" s="24" t="str">
        <f aca="false">IF(OR(E197="",AND(F197="",G197="")),"",E197*IF(F197&lt;&gt;"",F197,G197/Listes!$D$5))</f>
        <v/>
      </c>
      <c r="I197" s="28" t="str">
        <f aca="false">IF(H197="","",H197*Listes!$D$5)</f>
        <v/>
      </c>
      <c r="J197" s="19"/>
    </row>
    <row r="198" customFormat="false" ht="15" hidden="false" customHeight="false" outlineLevel="0" collapsed="false">
      <c r="A198" s="19"/>
      <c r="B198" s="18"/>
      <c r="C198" s="19"/>
      <c r="D198" s="19"/>
      <c r="E198" s="43"/>
      <c r="F198" s="21"/>
      <c r="G198" s="22"/>
      <c r="H198" s="24" t="str">
        <f aca="false">IF(OR(E198="",AND(F198="",G198="")),"",E198*IF(F198&lt;&gt;"",F198,G198/Listes!$D$5))</f>
        <v/>
      </c>
      <c r="I198" s="28" t="str">
        <f aca="false">IF(H198="","",H198*Listes!$D$5)</f>
        <v/>
      </c>
      <c r="J198" s="19"/>
    </row>
    <row r="199" customFormat="false" ht="15" hidden="false" customHeight="false" outlineLevel="0" collapsed="false">
      <c r="A199" s="19"/>
      <c r="B199" s="18"/>
      <c r="C199" s="19"/>
      <c r="D199" s="19"/>
      <c r="E199" s="43"/>
      <c r="F199" s="21"/>
      <c r="G199" s="22"/>
      <c r="H199" s="24" t="str">
        <f aca="false">IF(OR(E199="",AND(F199="",G199="")),"",E199*IF(F199&lt;&gt;"",F199,G199/Listes!$D$5))</f>
        <v/>
      </c>
      <c r="I199" s="28" t="str">
        <f aca="false">IF(H199="","",H199*Listes!$D$5)</f>
        <v/>
      </c>
      <c r="J199" s="19"/>
    </row>
    <row r="200" customFormat="false" ht="15" hidden="false" customHeight="false" outlineLevel="0" collapsed="false">
      <c r="A200" s="19"/>
      <c r="B200" s="18"/>
      <c r="C200" s="19"/>
      <c r="D200" s="19"/>
      <c r="E200" s="43"/>
      <c r="F200" s="21"/>
      <c r="G200" s="22"/>
      <c r="H200" s="24" t="str">
        <f aca="false">IF(OR(E200="",AND(F200="",G200="")),"",E200*IF(F200&lt;&gt;"",F200,G200/Listes!$D$5))</f>
        <v/>
      </c>
      <c r="I200" s="28" t="str">
        <f aca="false">IF(H200="","",H200*Listes!$D$5)</f>
        <v/>
      </c>
      <c r="J200" s="19"/>
    </row>
    <row r="201" customFormat="false" ht="15" hidden="false" customHeight="false" outlineLevel="0" collapsed="false">
      <c r="A201" s="19"/>
      <c r="B201" s="18"/>
      <c r="C201" s="19"/>
      <c r="D201" s="19"/>
      <c r="E201" s="43"/>
      <c r="F201" s="21"/>
      <c r="G201" s="22"/>
      <c r="H201" s="24" t="str">
        <f aca="false">IF(OR(E201="",AND(F201="",G201="")),"",E201*IF(F201&lt;&gt;"",F201,G201/Listes!$D$5))</f>
        <v/>
      </c>
      <c r="I201" s="28" t="str">
        <f aca="false">IF(H201="","",H201*Listes!$D$5)</f>
        <v/>
      </c>
      <c r="J201" s="19"/>
    </row>
    <row r="202" customFormat="false" ht="15" hidden="false" customHeight="false" outlineLevel="0" collapsed="false">
      <c r="A202" s="19"/>
      <c r="B202" s="18"/>
      <c r="C202" s="19"/>
      <c r="D202" s="19"/>
      <c r="E202" s="43"/>
      <c r="F202" s="21"/>
      <c r="G202" s="22"/>
      <c r="H202" s="24" t="str">
        <f aca="false">IF(OR(E202="",AND(F202="",G202="")),"",E202*IF(F202&lt;&gt;"",F202,G202/Listes!$D$5))</f>
        <v/>
      </c>
      <c r="I202" s="28" t="str">
        <f aca="false">IF(H202="","",H202*Listes!$D$5)</f>
        <v/>
      </c>
      <c r="J202" s="19"/>
    </row>
    <row r="203" customFormat="false" ht="15" hidden="false" customHeight="false" outlineLevel="0" collapsed="false">
      <c r="A203" s="19"/>
      <c r="B203" s="18"/>
      <c r="C203" s="19"/>
      <c r="D203" s="19"/>
      <c r="E203" s="43"/>
      <c r="F203" s="21"/>
      <c r="G203" s="22"/>
      <c r="H203" s="24" t="str">
        <f aca="false">IF(OR(E203="",AND(F203="",G203="")),"",E203*IF(F203&lt;&gt;"",F203,G203/Listes!$D$5))</f>
        <v/>
      </c>
      <c r="I203" s="28" t="str">
        <f aca="false">IF(H203="","",H203*Listes!$D$5)</f>
        <v/>
      </c>
      <c r="J203" s="19"/>
    </row>
    <row r="204" customFormat="false" ht="15" hidden="false" customHeight="false" outlineLevel="0" collapsed="false">
      <c r="A204" s="19"/>
      <c r="B204" s="18"/>
      <c r="C204" s="19"/>
      <c r="D204" s="19"/>
      <c r="E204" s="43"/>
      <c r="F204" s="21"/>
      <c r="G204" s="22"/>
      <c r="H204" s="24" t="str">
        <f aca="false">IF(OR(E204="",AND(F204="",G204="")),"",E204*IF(F204&lt;&gt;"",F204,G204/Listes!$D$5))</f>
        <v/>
      </c>
      <c r="I204" s="28" t="str">
        <f aca="false">IF(H204="","",H204*Listes!$D$5)</f>
        <v/>
      </c>
      <c r="J204" s="19"/>
    </row>
    <row r="205" customFormat="false" ht="15" hidden="false" customHeight="false" outlineLevel="0" collapsed="false">
      <c r="A205" s="19"/>
      <c r="B205" s="18"/>
      <c r="C205" s="19"/>
      <c r="D205" s="19"/>
      <c r="E205" s="43"/>
      <c r="F205" s="21"/>
      <c r="G205" s="22"/>
      <c r="H205" s="24" t="str">
        <f aca="false">IF(OR(E205="",AND(F205="",G205="")),"",E205*IF(F205&lt;&gt;"",F205,G205/Listes!$D$5))</f>
        <v/>
      </c>
      <c r="I205" s="28" t="str">
        <f aca="false">IF(H205="","",H205*Listes!$D$5)</f>
        <v/>
      </c>
      <c r="J205" s="19"/>
    </row>
    <row r="206" customFormat="false" ht="15" hidden="false" customHeight="false" outlineLevel="0" collapsed="false">
      <c r="A206" s="19"/>
      <c r="B206" s="18"/>
      <c r="C206" s="19"/>
      <c r="D206" s="19"/>
      <c r="E206" s="43"/>
      <c r="F206" s="21"/>
      <c r="G206" s="22"/>
      <c r="H206" s="24" t="str">
        <f aca="false">IF(OR(E206="",AND(F206="",G206="")),"",E206*IF(F206&lt;&gt;"",F206,G206/Listes!$D$5))</f>
        <v/>
      </c>
      <c r="I206" s="28" t="str">
        <f aca="false">IF(H206="","",H206*Listes!$D$5)</f>
        <v/>
      </c>
      <c r="J206" s="19"/>
    </row>
  </sheetData>
  <mergeCells count="8">
    <mergeCell ref="A1:J1"/>
    <mergeCell ref="A2:J2"/>
    <mergeCell ref="A4:B4"/>
    <mergeCell ref="C4:D4"/>
    <mergeCell ref="E4:F4"/>
    <mergeCell ref="A5:B5"/>
    <mergeCell ref="C5:D5"/>
    <mergeCell ref="E5:F5"/>
  </mergeCells>
  <dataValidations count="1">
    <dataValidation allowBlank="true" errorStyle="stop" operator="between" showDropDown="false" showErrorMessage="false" showInputMessage="false" sqref="A7:A206" type="list">
      <formula1>Listes!$A$5:$A$16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4" min="4" style="0" width="24"/>
  </cols>
  <sheetData>
    <row r="1" customFormat="false" ht="27.75" hidden="false" customHeight="true" outlineLevel="0" collapsed="false">
      <c r="A1" s="1" t="s">
        <v>96</v>
      </c>
      <c r="B1" s="1"/>
    </row>
    <row r="2" customFormat="false" ht="25.5" hidden="false" customHeight="true" outlineLevel="0" collapsed="false">
      <c r="A2" s="2" t="s">
        <v>97</v>
      </c>
      <c r="B2" s="2"/>
    </row>
    <row r="4" customFormat="false" ht="15" hidden="false" customHeight="false" outlineLevel="0" collapsed="false">
      <c r="A4" s="44" t="s">
        <v>98</v>
      </c>
      <c r="B4" s="44" t="s">
        <v>99</v>
      </c>
      <c r="D4" s="45" t="s">
        <v>100</v>
      </c>
    </row>
    <row r="5" customFormat="false" ht="15" hidden="false" customHeight="false" outlineLevel="0" collapsed="false">
      <c r="A5" s="19" t="s">
        <v>101</v>
      </c>
      <c r="B5" s="19" t="s">
        <v>33</v>
      </c>
      <c r="D5" s="46" t="n">
        <v>655.957</v>
      </c>
    </row>
    <row r="6" customFormat="false" ht="25.5" hidden="false" customHeight="true" outlineLevel="0" collapsed="false">
      <c r="A6" s="19" t="s">
        <v>32</v>
      </c>
      <c r="B6" s="19" t="s">
        <v>35</v>
      </c>
      <c r="D6" s="47" t="s">
        <v>102</v>
      </c>
    </row>
    <row r="7" customFormat="false" ht="15" hidden="false" customHeight="false" outlineLevel="0" collapsed="false">
      <c r="A7" s="19" t="s">
        <v>67</v>
      </c>
      <c r="B7" s="19" t="s">
        <v>38</v>
      </c>
    </row>
    <row r="8" customFormat="false" ht="15" hidden="false" customHeight="false" outlineLevel="0" collapsed="false">
      <c r="A8" s="19" t="s">
        <v>103</v>
      </c>
      <c r="B8" s="19" t="s">
        <v>60</v>
      </c>
    </row>
    <row r="9" customFormat="false" ht="15" hidden="false" customHeight="false" outlineLevel="0" collapsed="false">
      <c r="A9" s="19" t="s">
        <v>69</v>
      </c>
      <c r="B9" s="19" t="s">
        <v>61</v>
      </c>
    </row>
    <row r="10" customFormat="false" ht="15" hidden="false" customHeight="false" outlineLevel="0" collapsed="false">
      <c r="A10" s="19" t="s">
        <v>104</v>
      </c>
      <c r="B10" s="19" t="s">
        <v>105</v>
      </c>
    </row>
    <row r="11" customFormat="false" ht="15" hidden="false" customHeight="false" outlineLevel="0" collapsed="false">
      <c r="A11" s="19"/>
      <c r="B11" s="19"/>
    </row>
    <row r="12" customFormat="false" ht="15" hidden="false" customHeight="false" outlineLevel="0" collapsed="false">
      <c r="A12" s="19"/>
      <c r="B12" s="19"/>
    </row>
    <row r="13" customFormat="false" ht="15" hidden="false" customHeight="false" outlineLevel="0" collapsed="false">
      <c r="A13" s="19"/>
    </row>
    <row r="14" customFormat="false" ht="15" hidden="false" customHeight="false" outlineLevel="0" collapsed="false">
      <c r="A14" s="19"/>
    </row>
    <row r="15" customFormat="false" ht="15" hidden="false" customHeight="false" outlineLevel="0" collapsed="false">
      <c r="A15" s="19"/>
    </row>
    <row r="16" customFormat="false" ht="15" hidden="false" customHeight="false" outlineLevel="0" collapsed="false">
      <c r="A16" s="19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2026-07-28T16:20:44Z</dcterms:created>
  <dc:creator>openpyxl</dc:creator>
  <dc:description/>
  <dc:language>en-US</dc:language>
  <cp:lastModifiedBy/>
  <dcterms:modified xsi:type="dcterms:W3CDTF">2026-07-28T16:20:44Z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