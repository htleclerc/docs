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Trésorerie" sheetId="2" state="visible" r:id="rId4"/>
    <sheet name="Synthèse" sheetId="3" state="visible" r:id="rId5"/>
    <sheet name="Budget" sheetId="4" state="visible" r:id="rId6"/>
    <sheet name="Prix" sheetId="5" state="visible" r:id="rId7"/>
    <sheet name="Dons" sheetId="6" state="visible" r:id="rId8"/>
    <sheet name="List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<sst xmlns="http://schemas.openxmlformats.org/spreadsheetml/2006/main" count="125" uniqueCount="96">
  <si>
    <t xml:space="preserve">GESTION DES DONS — LES PETITS ENFANTS DE MARIE</t>
  </si>
  <si>
    <t xml:space="preserve">Mode d'emploi du classeur : remplissez uniquement les cellules JAUNES. Tout ce qui est blanc se calcule automatiquement. Chaque onglet contient une ligne d'exemple à remplacer par vos vraies données.</t>
  </si>
  <si>
    <t xml:space="preserve">Trésorerie</t>
  </si>
  <si>
    <t xml:space="preserve">Le journal de tous les mouvements : dons reçus et dépenses, ligne par ligne, avec la campagne, la catégorie (dont Logistique), le n° de facture et le solde automatique.</t>
  </si>
  <si>
    <t xml:space="preserve">Synthèse</t>
  </si>
  <si>
    <t xml:space="preserve">L'analyse comparative par campagne : saisissez le montant total envoyé à la logistique (colonne jaune), le tableau le compare aux dons reçus et aux factures justifiées, et calcule le reste à justifier — avec la clôture de l'année en bas.</t>
  </si>
  <si>
    <t xml:space="preserve">Budget</t>
  </si>
  <si>
    <t xml:space="preserve">Votre budget par poste de dépense, modifiable à tout moment. Le « dépensé réel » se calcule tout seul depuis l'onglet Trésorerie.</t>
  </si>
  <si>
    <t xml:space="preserve">Prix</t>
  </si>
  <si>
    <t xml:space="preserve">Le comparatif des prix des articles d'une campagne à l'autre, pour analyser l'évolution des prix (riz, cahiers, cartables…).</t>
  </si>
  <si>
    <t xml:space="preserve">Dons</t>
  </si>
  <si>
    <t xml:space="preserve">Le détail des articles donnés à chaque orphelinat, campagne par campagne : article, quantité, valeur.</t>
  </si>
  <si>
    <t xml:space="preserve">Listes</t>
  </si>
  <si>
    <t xml:space="preserve">Vos campagnes et catégories de dépenses : modifiez-les ici, elles alimentent les menus déroulants de tous les onglets.</t>
  </si>
  <si>
    <t xml:space="preserve">Astuce : à chaque nouvelle campagne, ajoutez simplement son nom dans l'onglet Listes.</t>
  </si>
  <si>
    <t xml:space="preserve">SUIVI DE TRÉSORERIE</t>
  </si>
  <si>
    <t xml:space="preserve">Une ligne par mouvement : un don reçu (colonne Entrée) ou une dépense (colonne Dépense). Choisissez la campagne et la catégorie dans les menus déroulants. La ligne 7 est un exemple à remplacer.</t>
  </si>
  <si>
    <t xml:space="preserve">TOTAL ENTRÉES (DONS REÇUS)</t>
  </si>
  <si>
    <t xml:space="preserve">TOTAL DÉPENSES</t>
  </si>
  <si>
    <t xml:space="preserve">SOLDE ACTUEL</t>
  </si>
  <si>
    <t xml:space="preserve">DONT LOGISTIQUE</t>
  </si>
  <si>
    <t xml:space="preserve">Date</t>
  </si>
  <si>
    <t xml:space="preserve">Campagne</t>
  </si>
  <si>
    <t xml:space="preserve">Catégorie</t>
  </si>
  <si>
    <t xml:space="preserve">Description</t>
  </si>
  <si>
    <t xml:space="preserve">N° facture / justificatif</t>
  </si>
  <si>
    <t xml:space="preserve">Entrée (€)</t>
  </si>
  <si>
    <t xml:space="preserve">Dépense (€)</t>
  </si>
  <si>
    <t xml:space="preserve">Solde cumulé (€)</t>
  </si>
  <si>
    <t xml:space="preserve">Noël 2025</t>
  </si>
  <si>
    <t xml:space="preserve">Don reçu</t>
  </si>
  <si>
    <t xml:space="preserve">Collecte en ligne de décembre</t>
  </si>
  <si>
    <t xml:space="preserve">Achats articles</t>
  </si>
  <si>
    <t xml:space="preserve">Cahiers, stylos et riz pour l'orphelinat</t>
  </si>
  <si>
    <t xml:space="preserve">FACT-2025-001</t>
  </si>
  <si>
    <t xml:space="preserve">Logistique</t>
  </si>
  <si>
    <t xml:space="preserve">Transport des colis vers Cotonou</t>
  </si>
  <si>
    <t xml:space="preserve">FACT-2025-002</t>
  </si>
  <si>
    <t xml:space="preserve">SYNTHÈSE PAR CAMPAGNE — ANALYSE COMPARATIVE</t>
  </si>
  <si>
    <t xml:space="preserve">Saisissez uniquement le « Montant envoyé à la logistique » (colonne jaune) : c'est l'enveloppe totale envoyée pour la campagne. Le reste se calcule depuis l'onglet Trésorerie (dons reçus, factures justifiées). La dernière ligne donne la clôture de l'année.</t>
  </si>
  <si>
    <t xml:space="preserve">Année :</t>
  </si>
  <si>
    <t xml:space="preserve">Dons reçus (€)</t>
  </si>
  <si>
    <t xml:space="preserve">Montant envoyé à la logistique (€)</t>
  </si>
  <si>
    <t xml:space="preserve">Factures justifiées (€)</t>
  </si>
  <si>
    <t xml:space="preserve">Reste à justifier (€)</t>
  </si>
  <si>
    <t xml:space="preserve">Solde campagne (€)</t>
  </si>
  <si>
    <t xml:space="preserve">% de l'envoi justifié</t>
  </si>
  <si>
    <t xml:space="preserve">TOTAL — CLÔTURE DE L'ANNÉE</t>
  </si>
  <si>
    <t xml:space="preserve">BUDGET ANNUEL PAR POSTE</t>
  </si>
  <si>
    <t xml:space="preserve">Modifiez les postes et les budgets (cellules jaunes) à tout moment. Le « Dépensé réel » se calcule automatiquement depuis la Trésorerie (le poste doit porter le même nom que la catégorie).</t>
  </si>
  <si>
    <t xml:space="preserve">Poste / Catégorie</t>
  </si>
  <si>
    <t xml:space="preserve">Budget prévu (€)</t>
  </si>
  <si>
    <t xml:space="preserve">Dépensé réel (€)</t>
  </si>
  <si>
    <t xml:space="preserve">Écart (€)</t>
  </si>
  <si>
    <t xml:space="preserve">% consommé</t>
  </si>
  <si>
    <t xml:space="preserve">Transport</t>
  </si>
  <si>
    <t xml:space="preserve">Frais divers</t>
  </si>
  <si>
    <t xml:space="preserve">TOTAL</t>
  </si>
  <si>
    <t xml:space="preserve">COMPARATIF DES PRIX DES ARTICLES</t>
  </si>
  <si>
    <t xml:space="preserve">Notez le prix unitaire de chaque article à chaque campagne (colonnes C à F : les en-têtes jaunes sont modifiables). L'évolution compare automatiquement le premier prix saisi au dernier. La ligne 6 est un exemple.</t>
  </si>
  <si>
    <t xml:space="preserve">Article</t>
  </si>
  <si>
    <t xml:space="preserve">Unité</t>
  </si>
  <si>
    <t xml:space="preserve">Pâques 2026</t>
  </si>
  <si>
    <t xml:space="preserve">Rentrée 2026</t>
  </si>
  <si>
    <t xml:space="preserve">Noël 2026</t>
  </si>
  <si>
    <t xml:space="preserve">Évolution</t>
  </si>
  <si>
    <t xml:space="preserve">Notes</t>
  </si>
  <si>
    <t xml:space="preserve">Sac de riz 25 kg</t>
  </si>
  <si>
    <t xml:space="preserve">sac</t>
  </si>
  <si>
    <t xml:space="preserve">Cahier 96 pages</t>
  </si>
  <si>
    <t xml:space="preserve">pièce</t>
  </si>
  <si>
    <t xml:space="preserve">Stylo bleu</t>
  </si>
  <si>
    <t xml:space="preserve">Cartable</t>
  </si>
  <si>
    <t xml:space="preserve">Craie blanche</t>
  </si>
  <si>
    <t xml:space="preserve">boîte de 100</t>
  </si>
  <si>
    <t xml:space="preserve">Huile végétale 1 L</t>
  </si>
  <si>
    <t xml:space="preserve">bouteille</t>
  </si>
  <si>
    <t xml:space="preserve">Savon</t>
  </si>
  <si>
    <t xml:space="preserve">DÉTAIL DES DONS PAR CAMPAGNE</t>
  </si>
  <si>
    <t xml:space="preserve">Une ligne par article donné : campagne, orphelinat bénéficiaire, article, quantité et valeur. Les lignes 7 à 9 sont des exemples à remplacer.</t>
  </si>
  <si>
    <t xml:space="preserve">VALEUR TOTALE DES DONS</t>
  </si>
  <si>
    <t xml:space="preserve">ARTICLES DONNÉS (QUANTITÉ)</t>
  </si>
  <si>
    <t xml:space="preserve">Bénéficiaire (orphelinat…)</t>
  </si>
  <si>
    <t xml:space="preserve">Article donné</t>
  </si>
  <si>
    <t xml:space="preserve">Quantité</t>
  </si>
  <si>
    <t xml:space="preserve">Valeur unitaire (€)</t>
  </si>
  <si>
    <t xml:space="preserve">Valeur totale (€)</t>
  </si>
  <si>
    <t xml:space="preserve">Orphelinat Sainte-Marie, Cotonou</t>
  </si>
  <si>
    <t xml:space="preserve">LISTES MODIFIABLES</t>
  </si>
  <si>
    <t xml:space="preserve">Modifiez ou ajoutez ici vos campagnes et catégories : elles alimentent les menus déroulants et la Synthèse. Ajoutez une campagne à chaque nouvelle collecte.</t>
  </si>
  <si>
    <t xml:space="preserve">Campagnes de dons</t>
  </si>
  <si>
    <t xml:space="preserve">Catégories de dépenses</t>
  </si>
  <si>
    <t xml:space="preserve">Rentrée scolaire 2025</t>
  </si>
  <si>
    <t xml:space="preserve">Rentrée scolaire 2026</t>
  </si>
  <si>
    <t xml:space="preserve">Opérations ponctuelles 2026</t>
  </si>
  <si>
    <t xml:space="preserve">Autre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</si>
</sst>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"/>
    <numFmt numFmtId="166" formatCode="dd/mm/yyyy"/>
    <numFmt numFmtId="167" formatCode="0"/>
    <numFmt numFmtId="168" formatCode="0.0%"/>
    <numFmt numFmtId="169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A1A1A"/>
      <name val="Arial"/>
      <family val="0"/>
      <charset val="1"/>
    </font>
    <font>
      <i val="true"/>
      <sz val="9"/>
      <color rgb="FF94268F"/>
      <name val="Arial"/>
      <family val="0"/>
      <charset val="1"/>
    </font>
    <font>
      <b val="true"/>
      <sz val="8"/>
      <color rgb="FF555555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A1A1A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2F3C7E"/>
        <bgColor rgb="FF003366"/>
      </patternFill>
    </fill>
    <fill>
      <patternFill patternType="solid">
        <fgColor rgb="FF2BA8E0"/>
        <bgColor rgb="FF00CCFF"/>
      </patternFill>
    </fill>
    <fill>
      <patternFill patternType="solid">
        <fgColor rgb="FF94268F"/>
        <bgColor rgb="FF993366"/>
      </patternFill>
    </fill>
    <fill>
      <patternFill patternType="solid">
        <fgColor rgb="FF45B84B"/>
        <bgColor rgb="FF2BA8E0"/>
      </patternFill>
    </fill>
    <fill>
      <patternFill patternType="solid">
        <fgColor rgb="FFF9931D"/>
        <bgColor rgb="FFFF8080"/>
      </patternFill>
    </fill>
    <fill>
      <patternFill patternType="solid">
        <fgColor rgb="FF888888"/>
        <bgColor rgb="FF999999"/>
      </patternFill>
    </fill>
    <fill>
      <patternFill patternType="solid">
        <fgColor rgb="FFD1E7D1"/>
        <bgColor rgb="FFE8E8E8"/>
      </patternFill>
    </fill>
    <fill>
      <patternFill patternType="solid">
        <fgColor rgb="FFF5D5D5"/>
        <bgColor rgb="FFFDEACC"/>
      </patternFill>
    </fill>
    <fill>
      <patternFill patternType="solid">
        <fgColor rgb="FFFDEACC"/>
        <bgColor rgb="FFFFF2CC"/>
      </patternFill>
    </fill>
    <fill>
      <patternFill patternType="solid">
        <fgColor rgb="FFE8E8E8"/>
        <bgColor rgb="FFD1E7D1"/>
      </patternFill>
    </fill>
    <fill>
      <patternFill patternType="solid">
        <fgColor rgb="FFFFF2CC"/>
        <bgColor rgb="FFFDEA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1E7D1"/>
        </patternFill>
      </fill>
    </dxf>
    <dxf>
      <fill>
        <patternFill>
          <bgColor rgb="FFFDEACC"/>
        </patternFill>
      </fill>
    </dxf>
    <dxf>
      <fill>
        <patternFill>
          <bgColor rgb="FFF5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4268F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2BA8E0"/>
      <rgbColor rgb="FF99CC00"/>
      <rgbColor rgb="FFFFCC00"/>
      <rgbColor rgb="FFF9931D"/>
      <rgbColor rgb="FFFF6600"/>
      <rgbColor rgb="FF555555"/>
      <rgbColor rgb="FF999999"/>
      <rgbColor rgb="FF003366"/>
      <rgbColor rgb="FF45B84B"/>
      <rgbColor rgb="FF003300"/>
      <rgbColor rgb="FF333300"/>
      <rgbColor rgb="FF993300"/>
      <rgbColor rgb="FF993366"/>
      <rgbColor rgb="FF2F3C7E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50"/>
  </cols>
  <sheetData>
    <row r="1" customFormat="false" ht="27.75" hidden="false" customHeight="true" outlineLevel="0" collapsed="false">
      <c r="A1" s="1" t="s">
        <v>0</v>
      </c>
      <c r="B1" s="1"/>
      <c r="C1" s="1"/>
    </row>
    <row r="2" customFormat="false" ht="25.5" hidden="false" customHeight="true" outlineLevel="0" collapsed="false">
      <c r="A2" s="2" t="s">
        <v>1</v>
      </c>
      <c r="B2" s="2"/>
      <c r="C2" s="2"/>
    </row>
    <row r="4" customFormat="false" ht="39.75" hidden="false" customHeight="true" outlineLevel="0" collapsed="false">
      <c r="A4" s="3" t="s">
        <v>2</v>
      </c>
      <c r="B4" s="4" t="s">
        <v>3</v>
      </c>
      <c r="C4" s="4"/>
    </row>
    <row r="5" customFormat="false" ht="39.75" hidden="false" customHeight="true" outlineLevel="0" collapsed="false">
      <c r="A5" s="5" t="s">
        <v>4</v>
      </c>
      <c r="B5" s="4" t="s">
        <v>5</v>
      </c>
      <c r="C5" s="4"/>
    </row>
    <row r="6" customFormat="false" ht="39.75" hidden="false" customHeight="true" outlineLevel="0" collapsed="false">
      <c r="A6" s="6" t="s">
        <v>6</v>
      </c>
      <c r="B6" s="4" t="s">
        <v>7</v>
      </c>
      <c r="C6" s="4"/>
    </row>
    <row r="7" customFormat="false" ht="39.75" hidden="false" customHeight="true" outlineLevel="0" collapsed="false">
      <c r="A7" s="7" t="s">
        <v>8</v>
      </c>
      <c r="B7" s="4" t="s">
        <v>9</v>
      </c>
      <c r="C7" s="4"/>
    </row>
    <row r="8" customFormat="false" ht="39.75" hidden="false" customHeight="true" outlineLevel="0" collapsed="false">
      <c r="A8" s="8" t="s">
        <v>10</v>
      </c>
      <c r="B8" s="4" t="s">
        <v>11</v>
      </c>
      <c r="C8" s="4"/>
    </row>
    <row r="9" customFormat="false" ht="39.75" hidden="false" customHeight="true" outlineLevel="0" collapsed="false">
      <c r="A9" s="9" t="s">
        <v>12</v>
      </c>
      <c r="B9" s="4" t="s">
        <v>13</v>
      </c>
      <c r="C9" s="4"/>
    </row>
    <row r="11" customFormat="false" ht="15" hidden="false" customHeight="false" outlineLevel="0" collapsed="false">
      <c r="A11" s="10" t="s">
        <v>14</v>
      </c>
    </row>
  </sheetData>
  <mergeCells count="8">
    <mergeCell ref="A1:C1"/>
    <mergeCell ref="A2:C2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40"/>
    <col collapsed="false" customWidth="true" hidden="false" outlineLevel="0" max="5" min="5" style="0" width="20"/>
    <col collapsed="false" customWidth="true" hidden="false" outlineLevel="0" max="7" min="6" style="0" width="13"/>
    <col collapsed="false" customWidth="true" hidden="false" outlineLevel="0" max="8" min="8" style="0" width="15"/>
  </cols>
  <sheetData>
    <row r="1" customFormat="false" ht="27.75" hidden="false" customHeight="true" outlineLevel="0" collapsed="false">
      <c r="A1" s="1" t="s">
        <v>15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16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1" t="s">
        <v>17</v>
      </c>
      <c r="B4" s="11"/>
      <c r="C4" s="11" t="s">
        <v>18</v>
      </c>
      <c r="D4" s="11"/>
      <c r="E4" s="11" t="s">
        <v>19</v>
      </c>
      <c r="F4" s="11"/>
      <c r="G4" s="11" t="s">
        <v>20</v>
      </c>
      <c r="H4" s="11"/>
    </row>
    <row r="5" customFormat="false" ht="21.75" hidden="false" customHeight="true" outlineLevel="0" collapsed="false">
      <c r="A5" s="12" t="n">
        <f aca="false">SUM(F7:F306)</f>
        <v>3200</v>
      </c>
      <c r="B5" s="12"/>
      <c r="C5" s="13" t="n">
        <f aca="false">SUM(G7:G306)</f>
        <v>340</v>
      </c>
      <c r="D5" s="13"/>
      <c r="E5" s="14" t="n">
        <f aca="false">SUM(F7:F306)-SUM(G7:G306)</f>
        <v>2860</v>
      </c>
      <c r="F5" s="14"/>
      <c r="G5" s="15" t="n">
        <f aca="false">SUMIF(C7:C306,"Logistique",G7:G306)</f>
        <v>80</v>
      </c>
      <c r="H5" s="15"/>
    </row>
    <row r="6" customFormat="false" ht="25.5" hidden="false" customHeight="true" outlineLevel="0" collapsed="false">
      <c r="A6" s="16" t="s">
        <v>21</v>
      </c>
      <c r="B6" s="16" t="s">
        <v>22</v>
      </c>
      <c r="C6" s="16" t="s">
        <v>23</v>
      </c>
      <c r="D6" s="16" t="s">
        <v>24</v>
      </c>
      <c r="E6" s="16" t="s">
        <v>25</v>
      </c>
      <c r="F6" s="16" t="s">
        <v>26</v>
      </c>
      <c r="G6" s="16" t="s">
        <v>27</v>
      </c>
      <c r="H6" s="16" t="s">
        <v>28</v>
      </c>
    </row>
    <row r="7" customFormat="false" ht="15" hidden="false" customHeight="false" outlineLevel="0" collapsed="false">
      <c r="A7" s="17" t="n">
        <v>45992</v>
      </c>
      <c r="B7" s="18" t="s">
        <v>29</v>
      </c>
      <c r="C7" s="18" t="s">
        <v>30</v>
      </c>
      <c r="D7" s="18" t="s">
        <v>31</v>
      </c>
      <c r="E7" s="19"/>
      <c r="F7" s="20" t="n">
        <v>3200</v>
      </c>
      <c r="G7" s="20"/>
      <c r="H7" s="21" t="n">
        <f aca="false">IF(AND(F7="",G7=""),"",SUM(F$7:F7)-SUM(G$7:G7))</f>
        <v>3200</v>
      </c>
    </row>
    <row r="8" customFormat="false" ht="15" hidden="false" customHeight="false" outlineLevel="0" collapsed="false">
      <c r="A8" s="17" t="n">
        <v>46001</v>
      </c>
      <c r="B8" s="18" t="s">
        <v>29</v>
      </c>
      <c r="C8" s="18" t="s">
        <v>32</v>
      </c>
      <c r="D8" s="18" t="s">
        <v>33</v>
      </c>
      <c r="E8" s="19" t="s">
        <v>34</v>
      </c>
      <c r="F8" s="20"/>
      <c r="G8" s="20" t="n">
        <v>260</v>
      </c>
      <c r="H8" s="21" t="n">
        <f aca="false">IF(AND(F8="",G8=""),"",SUM(F$7:F8)-SUM(G$7:G8))</f>
        <v>2940</v>
      </c>
    </row>
    <row r="9" customFormat="false" ht="15" hidden="false" customHeight="false" outlineLevel="0" collapsed="false">
      <c r="A9" s="17" t="n">
        <v>46003</v>
      </c>
      <c r="B9" s="18" t="s">
        <v>29</v>
      </c>
      <c r="C9" s="18" t="s">
        <v>35</v>
      </c>
      <c r="D9" s="18" t="s">
        <v>36</v>
      </c>
      <c r="E9" s="19" t="s">
        <v>37</v>
      </c>
      <c r="F9" s="20"/>
      <c r="G9" s="20" t="n">
        <v>80</v>
      </c>
      <c r="H9" s="21" t="n">
        <f aca="false">IF(AND(F9="",G9=""),"",SUM(F$7:F9)-SUM(G$7:G9))</f>
        <v>2860</v>
      </c>
    </row>
    <row r="10" customFormat="false" ht="15" hidden="false" customHeight="false" outlineLevel="0" collapsed="false">
      <c r="A10" s="17"/>
      <c r="B10" s="18"/>
      <c r="C10" s="18"/>
      <c r="D10" s="18"/>
      <c r="E10" s="19"/>
      <c r="F10" s="20"/>
      <c r="G10" s="20"/>
      <c r="H10" s="21" t="str">
        <f aca="false">IF(AND(F10="",G10=""),"",SUM(F$7:F10)-SUM(G$7:G10))</f>
        <v/>
      </c>
    </row>
    <row r="11" customFormat="false" ht="15" hidden="false" customHeight="false" outlineLevel="0" collapsed="false">
      <c r="A11" s="17"/>
      <c r="B11" s="18"/>
      <c r="C11" s="18"/>
      <c r="D11" s="18"/>
      <c r="E11" s="19"/>
      <c r="F11" s="20"/>
      <c r="G11" s="20"/>
      <c r="H11" s="21" t="str">
        <f aca="false">IF(AND(F11="",G11=""),"",SUM(F$7:F11)-SUM(G$7:G11))</f>
        <v/>
      </c>
    </row>
    <row r="12" customFormat="false" ht="15" hidden="false" customHeight="false" outlineLevel="0" collapsed="false">
      <c r="A12" s="17"/>
      <c r="B12" s="18"/>
      <c r="C12" s="18"/>
      <c r="D12" s="18"/>
      <c r="E12" s="19"/>
      <c r="F12" s="20"/>
      <c r="G12" s="20"/>
      <c r="H12" s="21" t="str">
        <f aca="false">IF(AND(F12="",G12=""),"",SUM(F$7:F12)-SUM(G$7:G12))</f>
        <v/>
      </c>
    </row>
    <row r="13" customFormat="false" ht="15" hidden="false" customHeight="false" outlineLevel="0" collapsed="false">
      <c r="A13" s="17"/>
      <c r="B13" s="18"/>
      <c r="C13" s="18"/>
      <c r="D13" s="18"/>
      <c r="E13" s="19"/>
      <c r="F13" s="20"/>
      <c r="G13" s="20"/>
      <c r="H13" s="21" t="str">
        <f aca="false">IF(AND(F13="",G13=""),"",SUM(F$7:F13)-SUM(G$7:G13))</f>
        <v/>
      </c>
    </row>
    <row r="14" customFormat="false" ht="15" hidden="false" customHeight="false" outlineLevel="0" collapsed="false">
      <c r="A14" s="17"/>
      <c r="B14" s="18"/>
      <c r="C14" s="18"/>
      <c r="D14" s="18"/>
      <c r="E14" s="19"/>
      <c r="F14" s="20"/>
      <c r="G14" s="20"/>
      <c r="H14" s="21" t="str">
        <f aca="false">IF(AND(F14="",G14=""),"",SUM(F$7:F14)-SUM(G$7:G14))</f>
        <v/>
      </c>
    </row>
    <row r="15" customFormat="false" ht="15" hidden="false" customHeight="false" outlineLevel="0" collapsed="false">
      <c r="A15" s="17"/>
      <c r="B15" s="18"/>
      <c r="C15" s="18"/>
      <c r="D15" s="18"/>
      <c r="E15" s="19"/>
      <c r="F15" s="20"/>
      <c r="G15" s="20"/>
      <c r="H15" s="21" t="str">
        <f aca="false">IF(AND(F15="",G15=""),"",SUM(F$7:F15)-SUM(G$7:G15))</f>
        <v/>
      </c>
    </row>
    <row r="16" customFormat="false" ht="15" hidden="false" customHeight="false" outlineLevel="0" collapsed="false">
      <c r="A16" s="17"/>
      <c r="B16" s="18"/>
      <c r="C16" s="18"/>
      <c r="D16" s="18"/>
      <c r="E16" s="19"/>
      <c r="F16" s="20"/>
      <c r="G16" s="20"/>
      <c r="H16" s="21" t="str">
        <f aca="false">IF(AND(F16="",G16=""),"",SUM(F$7:F16)-SUM(G$7:G16))</f>
        <v/>
      </c>
    </row>
    <row r="17" customFormat="false" ht="15" hidden="false" customHeight="false" outlineLevel="0" collapsed="false">
      <c r="A17" s="17"/>
      <c r="B17" s="18"/>
      <c r="C17" s="18"/>
      <c r="D17" s="18"/>
      <c r="E17" s="19"/>
      <c r="F17" s="20"/>
      <c r="G17" s="20"/>
      <c r="H17" s="21" t="str">
        <f aca="false">IF(AND(F17="",G17=""),"",SUM(F$7:F17)-SUM(G$7:G17))</f>
        <v/>
      </c>
    </row>
    <row r="18" customFormat="false" ht="15" hidden="false" customHeight="false" outlineLevel="0" collapsed="false">
      <c r="A18" s="17"/>
      <c r="B18" s="18"/>
      <c r="C18" s="18"/>
      <c r="D18" s="18"/>
      <c r="E18" s="19"/>
      <c r="F18" s="20"/>
      <c r="G18" s="20"/>
      <c r="H18" s="21" t="str">
        <f aca="false">IF(AND(F18="",G18=""),"",SUM(F$7:F18)-SUM(G$7:G18))</f>
        <v/>
      </c>
    </row>
    <row r="19" customFormat="false" ht="15" hidden="false" customHeight="false" outlineLevel="0" collapsed="false">
      <c r="A19" s="17"/>
      <c r="B19" s="18"/>
      <c r="C19" s="18"/>
      <c r="D19" s="18"/>
      <c r="E19" s="19"/>
      <c r="F19" s="20"/>
      <c r="G19" s="20"/>
      <c r="H19" s="21" t="str">
        <f aca="false">IF(AND(F19="",G19=""),"",SUM(F$7:F19)-SUM(G$7:G19))</f>
        <v/>
      </c>
    </row>
    <row r="20" customFormat="false" ht="15" hidden="false" customHeight="false" outlineLevel="0" collapsed="false">
      <c r="A20" s="17"/>
      <c r="B20" s="18"/>
      <c r="C20" s="18"/>
      <c r="D20" s="18"/>
      <c r="E20" s="19"/>
      <c r="F20" s="20"/>
      <c r="G20" s="20"/>
      <c r="H20" s="21" t="str">
        <f aca="false">IF(AND(F20="",G20=""),"",SUM(F$7:F20)-SUM(G$7:G20))</f>
        <v/>
      </c>
    </row>
    <row r="21" customFormat="false" ht="15" hidden="false" customHeight="false" outlineLevel="0" collapsed="false">
      <c r="A21" s="17"/>
      <c r="B21" s="18"/>
      <c r="C21" s="18"/>
      <c r="D21" s="18"/>
      <c r="E21" s="19"/>
      <c r="F21" s="20"/>
      <c r="G21" s="20"/>
      <c r="H21" s="21" t="str">
        <f aca="false">IF(AND(F21="",G21=""),"",SUM(F$7:F21)-SUM(G$7:G21))</f>
        <v/>
      </c>
    </row>
    <row r="22" customFormat="false" ht="15" hidden="false" customHeight="false" outlineLevel="0" collapsed="false">
      <c r="A22" s="17"/>
      <c r="B22" s="18"/>
      <c r="C22" s="18"/>
      <c r="D22" s="18"/>
      <c r="E22" s="19"/>
      <c r="F22" s="20"/>
      <c r="G22" s="20"/>
      <c r="H22" s="21" t="str">
        <f aca="false">IF(AND(F22="",G22=""),"",SUM(F$7:F22)-SUM(G$7:G22))</f>
        <v/>
      </c>
    </row>
    <row r="23" customFormat="false" ht="15" hidden="false" customHeight="false" outlineLevel="0" collapsed="false">
      <c r="A23" s="17"/>
      <c r="B23" s="18"/>
      <c r="C23" s="18"/>
      <c r="D23" s="18"/>
      <c r="E23" s="19"/>
      <c r="F23" s="20"/>
      <c r="G23" s="20"/>
      <c r="H23" s="21" t="str">
        <f aca="false">IF(AND(F23="",G23=""),"",SUM(F$7:F23)-SUM(G$7:G23))</f>
        <v/>
      </c>
    </row>
    <row r="24" customFormat="false" ht="15" hidden="false" customHeight="false" outlineLevel="0" collapsed="false">
      <c r="A24" s="17"/>
      <c r="B24" s="18"/>
      <c r="C24" s="18"/>
      <c r="D24" s="18"/>
      <c r="E24" s="19"/>
      <c r="F24" s="20"/>
      <c r="G24" s="20"/>
      <c r="H24" s="21" t="str">
        <f aca="false">IF(AND(F24="",G24=""),"",SUM(F$7:F24)-SUM(G$7:G24))</f>
        <v/>
      </c>
    </row>
    <row r="25" customFormat="false" ht="15" hidden="false" customHeight="false" outlineLevel="0" collapsed="false">
      <c r="A25" s="17"/>
      <c r="B25" s="18"/>
      <c r="C25" s="18"/>
      <c r="D25" s="18"/>
      <c r="E25" s="19"/>
      <c r="F25" s="20"/>
      <c r="G25" s="20"/>
      <c r="H25" s="21" t="str">
        <f aca="false">IF(AND(F25="",G25=""),"",SUM(F$7:F25)-SUM(G$7:G25))</f>
        <v/>
      </c>
    </row>
    <row r="26" customFormat="false" ht="15" hidden="false" customHeight="false" outlineLevel="0" collapsed="false">
      <c r="A26" s="17"/>
      <c r="B26" s="18"/>
      <c r="C26" s="18"/>
      <c r="D26" s="18"/>
      <c r="E26" s="19"/>
      <c r="F26" s="20"/>
      <c r="G26" s="20"/>
      <c r="H26" s="21" t="str">
        <f aca="false">IF(AND(F26="",G26=""),"",SUM(F$7:F26)-SUM(G$7:G26))</f>
        <v/>
      </c>
    </row>
    <row r="27" customFormat="false" ht="15" hidden="false" customHeight="false" outlineLevel="0" collapsed="false">
      <c r="A27" s="17"/>
      <c r="B27" s="18"/>
      <c r="C27" s="18"/>
      <c r="D27" s="18"/>
      <c r="E27" s="19"/>
      <c r="F27" s="20"/>
      <c r="G27" s="20"/>
      <c r="H27" s="21" t="str">
        <f aca="false">IF(AND(F27="",G27=""),"",SUM(F$7:F27)-SUM(G$7:G27))</f>
        <v/>
      </c>
    </row>
    <row r="28" customFormat="false" ht="15" hidden="false" customHeight="false" outlineLevel="0" collapsed="false">
      <c r="A28" s="17"/>
      <c r="B28" s="18"/>
      <c r="C28" s="18"/>
      <c r="D28" s="18"/>
      <c r="E28" s="19"/>
      <c r="F28" s="20"/>
      <c r="G28" s="20"/>
      <c r="H28" s="21" t="str">
        <f aca="false">IF(AND(F28="",G28=""),"",SUM(F$7:F28)-SUM(G$7:G28))</f>
        <v/>
      </c>
    </row>
    <row r="29" customFormat="false" ht="15" hidden="false" customHeight="false" outlineLevel="0" collapsed="false">
      <c r="A29" s="17"/>
      <c r="B29" s="18"/>
      <c r="C29" s="18"/>
      <c r="D29" s="18"/>
      <c r="E29" s="19"/>
      <c r="F29" s="20"/>
      <c r="G29" s="20"/>
      <c r="H29" s="21" t="str">
        <f aca="false">IF(AND(F29="",G29=""),"",SUM(F$7:F29)-SUM(G$7:G29))</f>
        <v/>
      </c>
    </row>
    <row r="30" customFormat="false" ht="15" hidden="false" customHeight="false" outlineLevel="0" collapsed="false">
      <c r="A30" s="17"/>
      <c r="B30" s="18"/>
      <c r="C30" s="18"/>
      <c r="D30" s="18"/>
      <c r="E30" s="19"/>
      <c r="F30" s="20"/>
      <c r="G30" s="20"/>
      <c r="H30" s="21" t="str">
        <f aca="false">IF(AND(F30="",G30=""),"",SUM(F$7:F30)-SUM(G$7:G30))</f>
        <v/>
      </c>
    </row>
    <row r="31" customFormat="false" ht="15" hidden="false" customHeight="false" outlineLevel="0" collapsed="false">
      <c r="A31" s="17"/>
      <c r="B31" s="18"/>
      <c r="C31" s="18"/>
      <c r="D31" s="18"/>
      <c r="E31" s="19"/>
      <c r="F31" s="20"/>
      <c r="G31" s="20"/>
      <c r="H31" s="21" t="str">
        <f aca="false">IF(AND(F31="",G31=""),"",SUM(F$7:F31)-SUM(G$7:G31))</f>
        <v/>
      </c>
    </row>
    <row r="32" customFormat="false" ht="15" hidden="false" customHeight="false" outlineLevel="0" collapsed="false">
      <c r="A32" s="17"/>
      <c r="B32" s="18"/>
      <c r="C32" s="18"/>
      <c r="D32" s="18"/>
      <c r="E32" s="19"/>
      <c r="F32" s="20"/>
      <c r="G32" s="20"/>
      <c r="H32" s="21" t="str">
        <f aca="false">IF(AND(F32="",G32=""),"",SUM(F$7:F32)-SUM(G$7:G32))</f>
        <v/>
      </c>
    </row>
    <row r="33" customFormat="false" ht="15" hidden="false" customHeight="false" outlineLevel="0" collapsed="false">
      <c r="A33" s="17"/>
      <c r="B33" s="18"/>
      <c r="C33" s="18"/>
      <c r="D33" s="18"/>
      <c r="E33" s="19"/>
      <c r="F33" s="20"/>
      <c r="G33" s="20"/>
      <c r="H33" s="21" t="str">
        <f aca="false">IF(AND(F33="",G33=""),"",SUM(F$7:F33)-SUM(G$7:G33))</f>
        <v/>
      </c>
    </row>
    <row r="34" customFormat="false" ht="15" hidden="false" customHeight="false" outlineLevel="0" collapsed="false">
      <c r="A34" s="17"/>
      <c r="B34" s="18"/>
      <c r="C34" s="18"/>
      <c r="D34" s="18"/>
      <c r="E34" s="19"/>
      <c r="F34" s="20"/>
      <c r="G34" s="20"/>
      <c r="H34" s="21" t="str">
        <f aca="false">IF(AND(F34="",G34=""),"",SUM(F$7:F34)-SUM(G$7:G34))</f>
        <v/>
      </c>
    </row>
    <row r="35" customFormat="false" ht="15" hidden="false" customHeight="false" outlineLevel="0" collapsed="false">
      <c r="A35" s="17"/>
      <c r="B35" s="18"/>
      <c r="C35" s="18"/>
      <c r="D35" s="18"/>
      <c r="E35" s="19"/>
      <c r="F35" s="20"/>
      <c r="G35" s="20"/>
      <c r="H35" s="21" t="str">
        <f aca="false">IF(AND(F35="",G35=""),"",SUM(F$7:F35)-SUM(G$7:G35))</f>
        <v/>
      </c>
    </row>
    <row r="36" customFormat="false" ht="15" hidden="false" customHeight="false" outlineLevel="0" collapsed="false">
      <c r="A36" s="17"/>
      <c r="B36" s="18"/>
      <c r="C36" s="18"/>
      <c r="D36" s="18"/>
      <c r="E36" s="19"/>
      <c r="F36" s="20"/>
      <c r="G36" s="20"/>
      <c r="H36" s="21" t="str">
        <f aca="false">IF(AND(F36="",G36=""),"",SUM(F$7:F36)-SUM(G$7:G36))</f>
        <v/>
      </c>
    </row>
    <row r="37" customFormat="false" ht="15" hidden="false" customHeight="false" outlineLevel="0" collapsed="false">
      <c r="A37" s="17"/>
      <c r="B37" s="18"/>
      <c r="C37" s="18"/>
      <c r="D37" s="18"/>
      <c r="E37" s="19"/>
      <c r="F37" s="20"/>
      <c r="G37" s="20"/>
      <c r="H37" s="21" t="str">
        <f aca="false">IF(AND(F37="",G37=""),"",SUM(F$7:F37)-SUM(G$7:G37))</f>
        <v/>
      </c>
    </row>
    <row r="38" customFormat="false" ht="15" hidden="false" customHeight="false" outlineLevel="0" collapsed="false">
      <c r="A38" s="17"/>
      <c r="B38" s="18"/>
      <c r="C38" s="18"/>
      <c r="D38" s="18"/>
      <c r="E38" s="19"/>
      <c r="F38" s="20"/>
      <c r="G38" s="20"/>
      <c r="H38" s="21" t="str">
        <f aca="false">IF(AND(F38="",G38=""),"",SUM(F$7:F38)-SUM(G$7:G38))</f>
        <v/>
      </c>
    </row>
    <row r="39" customFormat="false" ht="15" hidden="false" customHeight="false" outlineLevel="0" collapsed="false">
      <c r="A39" s="17"/>
      <c r="B39" s="18"/>
      <c r="C39" s="18"/>
      <c r="D39" s="18"/>
      <c r="E39" s="19"/>
      <c r="F39" s="20"/>
      <c r="G39" s="20"/>
      <c r="H39" s="21" t="str">
        <f aca="false">IF(AND(F39="",G39=""),"",SUM(F$7:F39)-SUM(G$7:G39))</f>
        <v/>
      </c>
    </row>
    <row r="40" customFormat="false" ht="15" hidden="false" customHeight="false" outlineLevel="0" collapsed="false">
      <c r="A40" s="17"/>
      <c r="B40" s="18"/>
      <c r="C40" s="18"/>
      <c r="D40" s="18"/>
      <c r="E40" s="19"/>
      <c r="F40" s="20"/>
      <c r="G40" s="20"/>
      <c r="H40" s="21" t="str">
        <f aca="false">IF(AND(F40="",G40=""),"",SUM(F$7:F40)-SUM(G$7:G40))</f>
        <v/>
      </c>
    </row>
    <row r="41" customFormat="false" ht="15" hidden="false" customHeight="false" outlineLevel="0" collapsed="false">
      <c r="A41" s="17"/>
      <c r="B41" s="18"/>
      <c r="C41" s="18"/>
      <c r="D41" s="18"/>
      <c r="E41" s="19"/>
      <c r="F41" s="20"/>
      <c r="G41" s="20"/>
      <c r="H41" s="21" t="str">
        <f aca="false">IF(AND(F41="",G41=""),"",SUM(F$7:F41)-SUM(G$7:G41))</f>
        <v/>
      </c>
    </row>
    <row r="42" customFormat="false" ht="15" hidden="false" customHeight="false" outlineLevel="0" collapsed="false">
      <c r="A42" s="17"/>
      <c r="B42" s="18"/>
      <c r="C42" s="18"/>
      <c r="D42" s="18"/>
      <c r="E42" s="19"/>
      <c r="F42" s="20"/>
      <c r="G42" s="20"/>
      <c r="H42" s="21" t="str">
        <f aca="false">IF(AND(F42="",G42=""),"",SUM(F$7:F42)-SUM(G$7:G42))</f>
        <v/>
      </c>
    </row>
    <row r="43" customFormat="false" ht="15" hidden="false" customHeight="false" outlineLevel="0" collapsed="false">
      <c r="A43" s="17"/>
      <c r="B43" s="18"/>
      <c r="C43" s="18"/>
      <c r="D43" s="18"/>
      <c r="E43" s="19"/>
      <c r="F43" s="20"/>
      <c r="G43" s="20"/>
      <c r="H43" s="21" t="str">
        <f aca="false">IF(AND(F43="",G43=""),"",SUM(F$7:F43)-SUM(G$7:G43))</f>
        <v/>
      </c>
    </row>
    <row r="44" customFormat="false" ht="15" hidden="false" customHeight="false" outlineLevel="0" collapsed="false">
      <c r="A44" s="17"/>
      <c r="B44" s="18"/>
      <c r="C44" s="18"/>
      <c r="D44" s="18"/>
      <c r="E44" s="19"/>
      <c r="F44" s="20"/>
      <c r="G44" s="20"/>
      <c r="H44" s="21" t="str">
        <f aca="false">IF(AND(F44="",G44=""),"",SUM(F$7:F44)-SUM(G$7:G44))</f>
        <v/>
      </c>
    </row>
    <row r="45" customFormat="false" ht="15" hidden="false" customHeight="false" outlineLevel="0" collapsed="false">
      <c r="A45" s="17"/>
      <c r="B45" s="18"/>
      <c r="C45" s="18"/>
      <c r="D45" s="18"/>
      <c r="E45" s="19"/>
      <c r="F45" s="20"/>
      <c r="G45" s="20"/>
      <c r="H45" s="21" t="str">
        <f aca="false">IF(AND(F45="",G45=""),"",SUM(F$7:F45)-SUM(G$7:G45))</f>
        <v/>
      </c>
    </row>
    <row r="46" customFormat="false" ht="15" hidden="false" customHeight="false" outlineLevel="0" collapsed="false">
      <c r="A46" s="17"/>
      <c r="B46" s="18"/>
      <c r="C46" s="18"/>
      <c r="D46" s="18"/>
      <c r="E46" s="19"/>
      <c r="F46" s="20"/>
      <c r="G46" s="20"/>
      <c r="H46" s="21" t="str">
        <f aca="false">IF(AND(F46="",G46=""),"",SUM(F$7:F46)-SUM(G$7:G46))</f>
        <v/>
      </c>
    </row>
    <row r="47" customFormat="false" ht="15" hidden="false" customHeight="false" outlineLevel="0" collapsed="false">
      <c r="A47" s="17"/>
      <c r="B47" s="18"/>
      <c r="C47" s="18"/>
      <c r="D47" s="18"/>
      <c r="E47" s="19"/>
      <c r="F47" s="20"/>
      <c r="G47" s="20"/>
      <c r="H47" s="21" t="str">
        <f aca="false">IF(AND(F47="",G47=""),"",SUM(F$7:F47)-SUM(G$7:G47))</f>
        <v/>
      </c>
    </row>
    <row r="48" customFormat="false" ht="15" hidden="false" customHeight="false" outlineLevel="0" collapsed="false">
      <c r="A48" s="17"/>
      <c r="B48" s="18"/>
      <c r="C48" s="18"/>
      <c r="D48" s="18"/>
      <c r="E48" s="19"/>
      <c r="F48" s="20"/>
      <c r="G48" s="20"/>
      <c r="H48" s="21" t="str">
        <f aca="false">IF(AND(F48="",G48=""),"",SUM(F$7:F48)-SUM(G$7:G48))</f>
        <v/>
      </c>
    </row>
    <row r="49" customFormat="false" ht="15" hidden="false" customHeight="false" outlineLevel="0" collapsed="false">
      <c r="A49" s="17"/>
      <c r="B49" s="18"/>
      <c r="C49" s="18"/>
      <c r="D49" s="18"/>
      <c r="E49" s="19"/>
      <c r="F49" s="20"/>
      <c r="G49" s="20"/>
      <c r="H49" s="21" t="str">
        <f aca="false">IF(AND(F49="",G49=""),"",SUM(F$7:F49)-SUM(G$7:G49))</f>
        <v/>
      </c>
    </row>
    <row r="50" customFormat="false" ht="15" hidden="false" customHeight="false" outlineLevel="0" collapsed="false">
      <c r="A50" s="17"/>
      <c r="B50" s="18"/>
      <c r="C50" s="18"/>
      <c r="D50" s="18"/>
      <c r="E50" s="19"/>
      <c r="F50" s="20"/>
      <c r="G50" s="20"/>
      <c r="H50" s="21" t="str">
        <f aca="false">IF(AND(F50="",G50=""),"",SUM(F$7:F50)-SUM(G$7:G50))</f>
        <v/>
      </c>
    </row>
    <row r="51" customFormat="false" ht="15" hidden="false" customHeight="false" outlineLevel="0" collapsed="false">
      <c r="A51" s="17"/>
      <c r="B51" s="18"/>
      <c r="C51" s="18"/>
      <c r="D51" s="18"/>
      <c r="E51" s="19"/>
      <c r="F51" s="20"/>
      <c r="G51" s="20"/>
      <c r="H51" s="21" t="str">
        <f aca="false">IF(AND(F51="",G51=""),"",SUM(F$7:F51)-SUM(G$7:G51))</f>
        <v/>
      </c>
    </row>
    <row r="52" customFormat="false" ht="15" hidden="false" customHeight="false" outlineLevel="0" collapsed="false">
      <c r="A52" s="17"/>
      <c r="B52" s="18"/>
      <c r="C52" s="18"/>
      <c r="D52" s="18"/>
      <c r="E52" s="19"/>
      <c r="F52" s="20"/>
      <c r="G52" s="20"/>
      <c r="H52" s="21" t="str">
        <f aca="false">IF(AND(F52="",G52=""),"",SUM(F$7:F52)-SUM(G$7:G52))</f>
        <v/>
      </c>
    </row>
    <row r="53" customFormat="false" ht="15" hidden="false" customHeight="false" outlineLevel="0" collapsed="false">
      <c r="A53" s="17"/>
      <c r="B53" s="18"/>
      <c r="C53" s="18"/>
      <c r="D53" s="18"/>
      <c r="E53" s="19"/>
      <c r="F53" s="20"/>
      <c r="G53" s="20"/>
      <c r="H53" s="21" t="str">
        <f aca="false">IF(AND(F53="",G53=""),"",SUM(F$7:F53)-SUM(G$7:G53))</f>
        <v/>
      </c>
    </row>
    <row r="54" customFormat="false" ht="15" hidden="false" customHeight="false" outlineLevel="0" collapsed="false">
      <c r="A54" s="17"/>
      <c r="B54" s="18"/>
      <c r="C54" s="18"/>
      <c r="D54" s="18"/>
      <c r="E54" s="19"/>
      <c r="F54" s="20"/>
      <c r="G54" s="20"/>
      <c r="H54" s="21" t="str">
        <f aca="false">IF(AND(F54="",G54=""),"",SUM(F$7:F54)-SUM(G$7:G54))</f>
        <v/>
      </c>
    </row>
    <row r="55" customFormat="false" ht="15" hidden="false" customHeight="false" outlineLevel="0" collapsed="false">
      <c r="A55" s="17"/>
      <c r="B55" s="18"/>
      <c r="C55" s="18"/>
      <c r="D55" s="18"/>
      <c r="E55" s="19"/>
      <c r="F55" s="20"/>
      <c r="G55" s="20"/>
      <c r="H55" s="21" t="str">
        <f aca="false">IF(AND(F55="",G55=""),"",SUM(F$7:F55)-SUM(G$7:G55))</f>
        <v/>
      </c>
    </row>
    <row r="56" customFormat="false" ht="15" hidden="false" customHeight="false" outlineLevel="0" collapsed="false">
      <c r="A56" s="17"/>
      <c r="B56" s="18"/>
      <c r="C56" s="18"/>
      <c r="D56" s="18"/>
      <c r="E56" s="19"/>
      <c r="F56" s="20"/>
      <c r="G56" s="20"/>
      <c r="H56" s="21" t="str">
        <f aca="false">IF(AND(F56="",G56=""),"",SUM(F$7:F56)-SUM(G$7:G56))</f>
        <v/>
      </c>
    </row>
    <row r="57" customFormat="false" ht="15" hidden="false" customHeight="false" outlineLevel="0" collapsed="false">
      <c r="A57" s="17"/>
      <c r="B57" s="18"/>
      <c r="C57" s="18"/>
      <c r="D57" s="18"/>
      <c r="E57" s="19"/>
      <c r="F57" s="20"/>
      <c r="G57" s="20"/>
      <c r="H57" s="21" t="str">
        <f aca="false">IF(AND(F57="",G57=""),"",SUM(F$7:F57)-SUM(G$7:G57))</f>
        <v/>
      </c>
    </row>
    <row r="58" customFormat="false" ht="15" hidden="false" customHeight="false" outlineLevel="0" collapsed="false">
      <c r="A58" s="17"/>
      <c r="B58" s="18"/>
      <c r="C58" s="18"/>
      <c r="D58" s="18"/>
      <c r="E58" s="19"/>
      <c r="F58" s="20"/>
      <c r="G58" s="20"/>
      <c r="H58" s="21" t="str">
        <f aca="false">IF(AND(F58="",G58=""),"",SUM(F$7:F58)-SUM(G$7:G58))</f>
        <v/>
      </c>
    </row>
    <row r="59" customFormat="false" ht="15" hidden="false" customHeight="false" outlineLevel="0" collapsed="false">
      <c r="A59" s="17"/>
      <c r="B59" s="18"/>
      <c r="C59" s="18"/>
      <c r="D59" s="18"/>
      <c r="E59" s="19"/>
      <c r="F59" s="20"/>
      <c r="G59" s="20"/>
      <c r="H59" s="21" t="str">
        <f aca="false">IF(AND(F59="",G59=""),"",SUM(F$7:F59)-SUM(G$7:G59))</f>
        <v/>
      </c>
    </row>
    <row r="60" customFormat="false" ht="15" hidden="false" customHeight="false" outlineLevel="0" collapsed="false">
      <c r="A60" s="17"/>
      <c r="B60" s="18"/>
      <c r="C60" s="18"/>
      <c r="D60" s="18"/>
      <c r="E60" s="19"/>
      <c r="F60" s="20"/>
      <c r="G60" s="20"/>
      <c r="H60" s="21" t="str">
        <f aca="false">IF(AND(F60="",G60=""),"",SUM(F$7:F60)-SUM(G$7:G60))</f>
        <v/>
      </c>
    </row>
    <row r="61" customFormat="false" ht="15" hidden="false" customHeight="false" outlineLevel="0" collapsed="false">
      <c r="A61" s="17"/>
      <c r="B61" s="18"/>
      <c r="C61" s="18"/>
      <c r="D61" s="18"/>
      <c r="E61" s="19"/>
      <c r="F61" s="20"/>
      <c r="G61" s="20"/>
      <c r="H61" s="21" t="str">
        <f aca="false">IF(AND(F61="",G61=""),"",SUM(F$7:F61)-SUM(G$7:G61))</f>
        <v/>
      </c>
    </row>
    <row r="62" customFormat="false" ht="15" hidden="false" customHeight="false" outlineLevel="0" collapsed="false">
      <c r="A62" s="17"/>
      <c r="B62" s="18"/>
      <c r="C62" s="18"/>
      <c r="D62" s="18"/>
      <c r="E62" s="19"/>
      <c r="F62" s="20"/>
      <c r="G62" s="20"/>
      <c r="H62" s="21" t="str">
        <f aca="false">IF(AND(F62="",G62=""),"",SUM(F$7:F62)-SUM(G$7:G62))</f>
        <v/>
      </c>
    </row>
    <row r="63" customFormat="false" ht="15" hidden="false" customHeight="false" outlineLevel="0" collapsed="false">
      <c r="A63" s="17"/>
      <c r="B63" s="18"/>
      <c r="C63" s="18"/>
      <c r="D63" s="18"/>
      <c r="E63" s="19"/>
      <c r="F63" s="20"/>
      <c r="G63" s="20"/>
      <c r="H63" s="21" t="str">
        <f aca="false">IF(AND(F63="",G63=""),"",SUM(F$7:F63)-SUM(G$7:G63))</f>
        <v/>
      </c>
    </row>
    <row r="64" customFormat="false" ht="15" hidden="false" customHeight="false" outlineLevel="0" collapsed="false">
      <c r="A64" s="17"/>
      <c r="B64" s="18"/>
      <c r="C64" s="18"/>
      <c r="D64" s="18"/>
      <c r="E64" s="19"/>
      <c r="F64" s="20"/>
      <c r="G64" s="20"/>
      <c r="H64" s="21" t="str">
        <f aca="false">IF(AND(F64="",G64=""),"",SUM(F$7:F64)-SUM(G$7:G64))</f>
        <v/>
      </c>
    </row>
    <row r="65" customFormat="false" ht="15" hidden="false" customHeight="false" outlineLevel="0" collapsed="false">
      <c r="A65" s="17"/>
      <c r="B65" s="18"/>
      <c r="C65" s="18"/>
      <c r="D65" s="18"/>
      <c r="E65" s="19"/>
      <c r="F65" s="20"/>
      <c r="G65" s="20"/>
      <c r="H65" s="21" t="str">
        <f aca="false">IF(AND(F65="",G65=""),"",SUM(F$7:F65)-SUM(G$7:G65))</f>
        <v/>
      </c>
    </row>
    <row r="66" customFormat="false" ht="15" hidden="false" customHeight="false" outlineLevel="0" collapsed="false">
      <c r="A66" s="17"/>
      <c r="B66" s="18"/>
      <c r="C66" s="18"/>
      <c r="D66" s="18"/>
      <c r="E66" s="19"/>
      <c r="F66" s="20"/>
      <c r="G66" s="20"/>
      <c r="H66" s="21" t="str">
        <f aca="false">IF(AND(F66="",G66=""),"",SUM(F$7:F66)-SUM(G$7:G66))</f>
        <v/>
      </c>
    </row>
    <row r="67" customFormat="false" ht="15" hidden="false" customHeight="false" outlineLevel="0" collapsed="false">
      <c r="A67" s="17"/>
      <c r="B67" s="18"/>
      <c r="C67" s="18"/>
      <c r="D67" s="18"/>
      <c r="E67" s="19"/>
      <c r="F67" s="20"/>
      <c r="G67" s="20"/>
      <c r="H67" s="21" t="str">
        <f aca="false">IF(AND(F67="",G67=""),"",SUM(F$7:F67)-SUM(G$7:G67))</f>
        <v/>
      </c>
    </row>
    <row r="68" customFormat="false" ht="15" hidden="false" customHeight="false" outlineLevel="0" collapsed="false">
      <c r="A68" s="17"/>
      <c r="B68" s="18"/>
      <c r="C68" s="18"/>
      <c r="D68" s="18"/>
      <c r="E68" s="19"/>
      <c r="F68" s="20"/>
      <c r="G68" s="20"/>
      <c r="H68" s="21" t="str">
        <f aca="false">IF(AND(F68="",G68=""),"",SUM(F$7:F68)-SUM(G$7:G68))</f>
        <v/>
      </c>
    </row>
    <row r="69" customFormat="false" ht="15" hidden="false" customHeight="false" outlineLevel="0" collapsed="false">
      <c r="A69" s="17"/>
      <c r="B69" s="18"/>
      <c r="C69" s="18"/>
      <c r="D69" s="18"/>
      <c r="E69" s="19"/>
      <c r="F69" s="20"/>
      <c r="G69" s="20"/>
      <c r="H69" s="21" t="str">
        <f aca="false">IF(AND(F69="",G69=""),"",SUM(F$7:F69)-SUM(G$7:G69))</f>
        <v/>
      </c>
    </row>
    <row r="70" customFormat="false" ht="15" hidden="false" customHeight="false" outlineLevel="0" collapsed="false">
      <c r="A70" s="17"/>
      <c r="B70" s="18"/>
      <c r="C70" s="18"/>
      <c r="D70" s="18"/>
      <c r="E70" s="19"/>
      <c r="F70" s="20"/>
      <c r="G70" s="20"/>
      <c r="H70" s="21" t="str">
        <f aca="false">IF(AND(F70="",G70=""),"",SUM(F$7:F70)-SUM(G$7:G70))</f>
        <v/>
      </c>
    </row>
    <row r="71" customFormat="false" ht="15" hidden="false" customHeight="false" outlineLevel="0" collapsed="false">
      <c r="A71" s="17"/>
      <c r="B71" s="18"/>
      <c r="C71" s="18"/>
      <c r="D71" s="18"/>
      <c r="E71" s="19"/>
      <c r="F71" s="20"/>
      <c r="G71" s="20"/>
      <c r="H71" s="21" t="str">
        <f aca="false">IF(AND(F71="",G71=""),"",SUM(F$7:F71)-SUM(G$7:G71))</f>
        <v/>
      </c>
    </row>
    <row r="72" customFormat="false" ht="15" hidden="false" customHeight="false" outlineLevel="0" collapsed="false">
      <c r="A72" s="17"/>
      <c r="B72" s="18"/>
      <c r="C72" s="18"/>
      <c r="D72" s="18"/>
      <c r="E72" s="19"/>
      <c r="F72" s="20"/>
      <c r="G72" s="20"/>
      <c r="H72" s="21" t="str">
        <f aca="false">IF(AND(F72="",G72=""),"",SUM(F$7:F72)-SUM(G$7:G72))</f>
        <v/>
      </c>
    </row>
    <row r="73" customFormat="false" ht="15" hidden="false" customHeight="false" outlineLevel="0" collapsed="false">
      <c r="A73" s="17"/>
      <c r="B73" s="18"/>
      <c r="C73" s="18"/>
      <c r="D73" s="18"/>
      <c r="E73" s="19"/>
      <c r="F73" s="20"/>
      <c r="G73" s="20"/>
      <c r="H73" s="21" t="str">
        <f aca="false">IF(AND(F73="",G73=""),"",SUM(F$7:F73)-SUM(G$7:G73))</f>
        <v/>
      </c>
    </row>
    <row r="74" customFormat="false" ht="15" hidden="false" customHeight="false" outlineLevel="0" collapsed="false">
      <c r="A74" s="17"/>
      <c r="B74" s="18"/>
      <c r="C74" s="18"/>
      <c r="D74" s="18"/>
      <c r="E74" s="19"/>
      <c r="F74" s="20"/>
      <c r="G74" s="20"/>
      <c r="H74" s="21" t="str">
        <f aca="false">IF(AND(F74="",G74=""),"",SUM(F$7:F74)-SUM(G$7:G74))</f>
        <v/>
      </c>
    </row>
    <row r="75" customFormat="false" ht="15" hidden="false" customHeight="false" outlineLevel="0" collapsed="false">
      <c r="A75" s="17"/>
      <c r="B75" s="18"/>
      <c r="C75" s="18"/>
      <c r="D75" s="18"/>
      <c r="E75" s="19"/>
      <c r="F75" s="20"/>
      <c r="G75" s="20"/>
      <c r="H75" s="21" t="str">
        <f aca="false">IF(AND(F75="",G75=""),"",SUM(F$7:F75)-SUM(G$7:G75))</f>
        <v/>
      </c>
    </row>
    <row r="76" customFormat="false" ht="15" hidden="false" customHeight="false" outlineLevel="0" collapsed="false">
      <c r="A76" s="17"/>
      <c r="B76" s="18"/>
      <c r="C76" s="18"/>
      <c r="D76" s="18"/>
      <c r="E76" s="19"/>
      <c r="F76" s="20"/>
      <c r="G76" s="20"/>
      <c r="H76" s="21" t="str">
        <f aca="false">IF(AND(F76="",G76=""),"",SUM(F$7:F76)-SUM(G$7:G76))</f>
        <v/>
      </c>
    </row>
    <row r="77" customFormat="false" ht="15" hidden="false" customHeight="false" outlineLevel="0" collapsed="false">
      <c r="A77" s="17"/>
      <c r="B77" s="18"/>
      <c r="C77" s="18"/>
      <c r="D77" s="18"/>
      <c r="E77" s="19"/>
      <c r="F77" s="20"/>
      <c r="G77" s="20"/>
      <c r="H77" s="21" t="str">
        <f aca="false">IF(AND(F77="",G77=""),"",SUM(F$7:F77)-SUM(G$7:G77))</f>
        <v/>
      </c>
    </row>
    <row r="78" customFormat="false" ht="15" hidden="false" customHeight="false" outlineLevel="0" collapsed="false">
      <c r="A78" s="17"/>
      <c r="B78" s="18"/>
      <c r="C78" s="18"/>
      <c r="D78" s="18"/>
      <c r="E78" s="19"/>
      <c r="F78" s="20"/>
      <c r="G78" s="20"/>
      <c r="H78" s="21" t="str">
        <f aca="false">IF(AND(F78="",G78=""),"",SUM(F$7:F78)-SUM(G$7:G78))</f>
        <v/>
      </c>
    </row>
    <row r="79" customFormat="false" ht="15" hidden="false" customHeight="false" outlineLevel="0" collapsed="false">
      <c r="A79" s="17"/>
      <c r="B79" s="18"/>
      <c r="C79" s="18"/>
      <c r="D79" s="18"/>
      <c r="E79" s="19"/>
      <c r="F79" s="20"/>
      <c r="G79" s="20"/>
      <c r="H79" s="21" t="str">
        <f aca="false">IF(AND(F79="",G79=""),"",SUM(F$7:F79)-SUM(G$7:G79))</f>
        <v/>
      </c>
    </row>
    <row r="80" customFormat="false" ht="15" hidden="false" customHeight="false" outlineLevel="0" collapsed="false">
      <c r="A80" s="17"/>
      <c r="B80" s="18"/>
      <c r="C80" s="18"/>
      <c r="D80" s="18"/>
      <c r="E80" s="19"/>
      <c r="F80" s="20"/>
      <c r="G80" s="20"/>
      <c r="H80" s="21" t="str">
        <f aca="false">IF(AND(F80="",G80=""),"",SUM(F$7:F80)-SUM(G$7:G80))</f>
        <v/>
      </c>
    </row>
    <row r="81" customFormat="false" ht="15" hidden="false" customHeight="false" outlineLevel="0" collapsed="false">
      <c r="A81" s="17"/>
      <c r="B81" s="18"/>
      <c r="C81" s="18"/>
      <c r="D81" s="18"/>
      <c r="E81" s="19"/>
      <c r="F81" s="20"/>
      <c r="G81" s="20"/>
      <c r="H81" s="21" t="str">
        <f aca="false">IF(AND(F81="",G81=""),"",SUM(F$7:F81)-SUM(G$7:G81))</f>
        <v/>
      </c>
    </row>
    <row r="82" customFormat="false" ht="15" hidden="false" customHeight="false" outlineLevel="0" collapsed="false">
      <c r="A82" s="17"/>
      <c r="B82" s="18"/>
      <c r="C82" s="18"/>
      <c r="D82" s="18"/>
      <c r="E82" s="19"/>
      <c r="F82" s="20"/>
      <c r="G82" s="20"/>
      <c r="H82" s="21" t="str">
        <f aca="false">IF(AND(F82="",G82=""),"",SUM(F$7:F82)-SUM(G$7:G82))</f>
        <v/>
      </c>
    </row>
    <row r="83" customFormat="false" ht="15" hidden="false" customHeight="false" outlineLevel="0" collapsed="false">
      <c r="A83" s="17"/>
      <c r="B83" s="18"/>
      <c r="C83" s="18"/>
      <c r="D83" s="18"/>
      <c r="E83" s="19"/>
      <c r="F83" s="20"/>
      <c r="G83" s="20"/>
      <c r="H83" s="21" t="str">
        <f aca="false">IF(AND(F83="",G83=""),"",SUM(F$7:F83)-SUM(G$7:G83))</f>
        <v/>
      </c>
    </row>
    <row r="84" customFormat="false" ht="15" hidden="false" customHeight="false" outlineLevel="0" collapsed="false">
      <c r="A84" s="17"/>
      <c r="B84" s="18"/>
      <c r="C84" s="18"/>
      <c r="D84" s="18"/>
      <c r="E84" s="19"/>
      <c r="F84" s="20"/>
      <c r="G84" s="20"/>
      <c r="H84" s="21" t="str">
        <f aca="false">IF(AND(F84="",G84=""),"",SUM(F$7:F84)-SUM(G$7:G84))</f>
        <v/>
      </c>
    </row>
    <row r="85" customFormat="false" ht="15" hidden="false" customHeight="false" outlineLevel="0" collapsed="false">
      <c r="A85" s="17"/>
      <c r="B85" s="18"/>
      <c r="C85" s="18"/>
      <c r="D85" s="18"/>
      <c r="E85" s="19"/>
      <c r="F85" s="20"/>
      <c r="G85" s="20"/>
      <c r="H85" s="21" t="str">
        <f aca="false">IF(AND(F85="",G85=""),"",SUM(F$7:F85)-SUM(G$7:G85))</f>
        <v/>
      </c>
    </row>
    <row r="86" customFormat="false" ht="15" hidden="false" customHeight="false" outlineLevel="0" collapsed="false">
      <c r="A86" s="17"/>
      <c r="B86" s="18"/>
      <c r="C86" s="18"/>
      <c r="D86" s="18"/>
      <c r="E86" s="19"/>
      <c r="F86" s="20"/>
      <c r="G86" s="20"/>
      <c r="H86" s="21" t="str">
        <f aca="false">IF(AND(F86="",G86=""),"",SUM(F$7:F86)-SUM(G$7:G86))</f>
        <v/>
      </c>
    </row>
    <row r="87" customFormat="false" ht="15" hidden="false" customHeight="false" outlineLevel="0" collapsed="false">
      <c r="A87" s="17"/>
      <c r="B87" s="18"/>
      <c r="C87" s="18"/>
      <c r="D87" s="18"/>
      <c r="E87" s="19"/>
      <c r="F87" s="20"/>
      <c r="G87" s="20"/>
      <c r="H87" s="21" t="str">
        <f aca="false">IF(AND(F87="",G87=""),"",SUM(F$7:F87)-SUM(G$7:G87))</f>
        <v/>
      </c>
    </row>
    <row r="88" customFormat="false" ht="15" hidden="false" customHeight="false" outlineLevel="0" collapsed="false">
      <c r="A88" s="17"/>
      <c r="B88" s="18"/>
      <c r="C88" s="18"/>
      <c r="D88" s="18"/>
      <c r="E88" s="19"/>
      <c r="F88" s="20"/>
      <c r="G88" s="20"/>
      <c r="H88" s="21" t="str">
        <f aca="false">IF(AND(F88="",G88=""),"",SUM(F$7:F88)-SUM(G$7:G88))</f>
        <v/>
      </c>
    </row>
    <row r="89" customFormat="false" ht="15" hidden="false" customHeight="false" outlineLevel="0" collapsed="false">
      <c r="A89" s="17"/>
      <c r="B89" s="18"/>
      <c r="C89" s="18"/>
      <c r="D89" s="18"/>
      <c r="E89" s="19"/>
      <c r="F89" s="20"/>
      <c r="G89" s="20"/>
      <c r="H89" s="21" t="str">
        <f aca="false">IF(AND(F89="",G89=""),"",SUM(F$7:F89)-SUM(G$7:G89))</f>
        <v/>
      </c>
    </row>
    <row r="90" customFormat="false" ht="15" hidden="false" customHeight="false" outlineLevel="0" collapsed="false">
      <c r="A90" s="17"/>
      <c r="B90" s="18"/>
      <c r="C90" s="18"/>
      <c r="D90" s="18"/>
      <c r="E90" s="19"/>
      <c r="F90" s="20"/>
      <c r="G90" s="20"/>
      <c r="H90" s="21" t="str">
        <f aca="false">IF(AND(F90="",G90=""),"",SUM(F$7:F90)-SUM(G$7:G90))</f>
        <v/>
      </c>
    </row>
    <row r="91" customFormat="false" ht="15" hidden="false" customHeight="false" outlineLevel="0" collapsed="false">
      <c r="A91" s="17"/>
      <c r="B91" s="18"/>
      <c r="C91" s="18"/>
      <c r="D91" s="18"/>
      <c r="E91" s="19"/>
      <c r="F91" s="20"/>
      <c r="G91" s="20"/>
      <c r="H91" s="21" t="str">
        <f aca="false">IF(AND(F91="",G91=""),"",SUM(F$7:F91)-SUM(G$7:G91))</f>
        <v/>
      </c>
    </row>
    <row r="92" customFormat="false" ht="15" hidden="false" customHeight="false" outlineLevel="0" collapsed="false">
      <c r="A92" s="17"/>
      <c r="B92" s="18"/>
      <c r="C92" s="18"/>
      <c r="D92" s="18"/>
      <c r="E92" s="19"/>
      <c r="F92" s="20"/>
      <c r="G92" s="20"/>
      <c r="H92" s="21" t="str">
        <f aca="false">IF(AND(F92="",G92=""),"",SUM(F$7:F92)-SUM(G$7:G92))</f>
        <v/>
      </c>
    </row>
    <row r="93" customFormat="false" ht="15" hidden="false" customHeight="false" outlineLevel="0" collapsed="false">
      <c r="A93" s="17"/>
      <c r="B93" s="18"/>
      <c r="C93" s="18"/>
      <c r="D93" s="18"/>
      <c r="E93" s="19"/>
      <c r="F93" s="20"/>
      <c r="G93" s="20"/>
      <c r="H93" s="21" t="str">
        <f aca="false">IF(AND(F93="",G93=""),"",SUM(F$7:F93)-SUM(G$7:G93))</f>
        <v/>
      </c>
    </row>
    <row r="94" customFormat="false" ht="15" hidden="false" customHeight="false" outlineLevel="0" collapsed="false">
      <c r="A94" s="17"/>
      <c r="B94" s="18"/>
      <c r="C94" s="18"/>
      <c r="D94" s="18"/>
      <c r="E94" s="19"/>
      <c r="F94" s="20"/>
      <c r="G94" s="20"/>
      <c r="H94" s="21" t="str">
        <f aca="false">IF(AND(F94="",G94=""),"",SUM(F$7:F94)-SUM(G$7:G94))</f>
        <v/>
      </c>
    </row>
    <row r="95" customFormat="false" ht="15" hidden="false" customHeight="false" outlineLevel="0" collapsed="false">
      <c r="A95" s="17"/>
      <c r="B95" s="18"/>
      <c r="C95" s="18"/>
      <c r="D95" s="18"/>
      <c r="E95" s="19"/>
      <c r="F95" s="20"/>
      <c r="G95" s="20"/>
      <c r="H95" s="21" t="str">
        <f aca="false">IF(AND(F95="",G95=""),"",SUM(F$7:F95)-SUM(G$7:G95))</f>
        <v/>
      </c>
    </row>
    <row r="96" customFormat="false" ht="15" hidden="false" customHeight="false" outlineLevel="0" collapsed="false">
      <c r="A96" s="17"/>
      <c r="B96" s="18"/>
      <c r="C96" s="18"/>
      <c r="D96" s="18"/>
      <c r="E96" s="19"/>
      <c r="F96" s="20"/>
      <c r="G96" s="20"/>
      <c r="H96" s="21" t="str">
        <f aca="false">IF(AND(F96="",G96=""),"",SUM(F$7:F96)-SUM(G$7:G96))</f>
        <v/>
      </c>
    </row>
    <row r="97" customFormat="false" ht="15" hidden="false" customHeight="false" outlineLevel="0" collapsed="false">
      <c r="A97" s="17"/>
      <c r="B97" s="18"/>
      <c r="C97" s="18"/>
      <c r="D97" s="18"/>
      <c r="E97" s="19"/>
      <c r="F97" s="20"/>
      <c r="G97" s="20"/>
      <c r="H97" s="21" t="str">
        <f aca="false">IF(AND(F97="",G97=""),"",SUM(F$7:F97)-SUM(G$7:G97))</f>
        <v/>
      </c>
    </row>
    <row r="98" customFormat="false" ht="15" hidden="false" customHeight="false" outlineLevel="0" collapsed="false">
      <c r="A98" s="17"/>
      <c r="B98" s="18"/>
      <c r="C98" s="18"/>
      <c r="D98" s="18"/>
      <c r="E98" s="19"/>
      <c r="F98" s="20"/>
      <c r="G98" s="20"/>
      <c r="H98" s="21" t="str">
        <f aca="false">IF(AND(F98="",G98=""),"",SUM(F$7:F98)-SUM(G$7:G98))</f>
        <v/>
      </c>
    </row>
    <row r="99" customFormat="false" ht="15" hidden="false" customHeight="false" outlineLevel="0" collapsed="false">
      <c r="A99" s="17"/>
      <c r="B99" s="18"/>
      <c r="C99" s="18"/>
      <c r="D99" s="18"/>
      <c r="E99" s="19"/>
      <c r="F99" s="20"/>
      <c r="G99" s="20"/>
      <c r="H99" s="21" t="str">
        <f aca="false">IF(AND(F99="",G99=""),"",SUM(F$7:F99)-SUM(G$7:G99))</f>
        <v/>
      </c>
    </row>
    <row r="100" customFormat="false" ht="15" hidden="false" customHeight="false" outlineLevel="0" collapsed="false">
      <c r="A100" s="17"/>
      <c r="B100" s="18"/>
      <c r="C100" s="18"/>
      <c r="D100" s="18"/>
      <c r="E100" s="19"/>
      <c r="F100" s="20"/>
      <c r="G100" s="20"/>
      <c r="H100" s="21" t="str">
        <f aca="false">IF(AND(F100="",G100=""),"",SUM(F$7:F100)-SUM(G$7:G100))</f>
        <v/>
      </c>
    </row>
    <row r="101" customFormat="false" ht="15" hidden="false" customHeight="false" outlineLevel="0" collapsed="false">
      <c r="A101" s="17"/>
      <c r="B101" s="18"/>
      <c r="C101" s="18"/>
      <c r="D101" s="18"/>
      <c r="E101" s="19"/>
      <c r="F101" s="20"/>
      <c r="G101" s="20"/>
      <c r="H101" s="21" t="str">
        <f aca="false">IF(AND(F101="",G101=""),"",SUM(F$7:F101)-SUM(G$7:G101))</f>
        <v/>
      </c>
    </row>
    <row r="102" customFormat="false" ht="15" hidden="false" customHeight="false" outlineLevel="0" collapsed="false">
      <c r="A102" s="17"/>
      <c r="B102" s="18"/>
      <c r="C102" s="18"/>
      <c r="D102" s="18"/>
      <c r="E102" s="19"/>
      <c r="F102" s="20"/>
      <c r="G102" s="20"/>
      <c r="H102" s="21" t="str">
        <f aca="false">IF(AND(F102="",G102=""),"",SUM(F$7:F102)-SUM(G$7:G102))</f>
        <v/>
      </c>
    </row>
    <row r="103" customFormat="false" ht="15" hidden="false" customHeight="false" outlineLevel="0" collapsed="false">
      <c r="A103" s="17"/>
      <c r="B103" s="18"/>
      <c r="C103" s="18"/>
      <c r="D103" s="18"/>
      <c r="E103" s="19"/>
      <c r="F103" s="20"/>
      <c r="G103" s="20"/>
      <c r="H103" s="21" t="str">
        <f aca="false">IF(AND(F103="",G103=""),"",SUM(F$7:F103)-SUM(G$7:G103))</f>
        <v/>
      </c>
    </row>
    <row r="104" customFormat="false" ht="15" hidden="false" customHeight="false" outlineLevel="0" collapsed="false">
      <c r="A104" s="17"/>
      <c r="B104" s="18"/>
      <c r="C104" s="18"/>
      <c r="D104" s="18"/>
      <c r="E104" s="19"/>
      <c r="F104" s="20"/>
      <c r="G104" s="20"/>
      <c r="H104" s="21" t="str">
        <f aca="false">IF(AND(F104="",G104=""),"",SUM(F$7:F104)-SUM(G$7:G104))</f>
        <v/>
      </c>
    </row>
    <row r="105" customFormat="false" ht="15" hidden="false" customHeight="false" outlineLevel="0" collapsed="false">
      <c r="A105" s="17"/>
      <c r="B105" s="18"/>
      <c r="C105" s="18"/>
      <c r="D105" s="18"/>
      <c r="E105" s="19"/>
      <c r="F105" s="20"/>
      <c r="G105" s="20"/>
      <c r="H105" s="21" t="str">
        <f aca="false">IF(AND(F105="",G105=""),"",SUM(F$7:F105)-SUM(G$7:G105))</f>
        <v/>
      </c>
    </row>
    <row r="106" customFormat="false" ht="15" hidden="false" customHeight="false" outlineLevel="0" collapsed="false">
      <c r="A106" s="17"/>
      <c r="B106" s="18"/>
      <c r="C106" s="18"/>
      <c r="D106" s="18"/>
      <c r="E106" s="19"/>
      <c r="F106" s="20"/>
      <c r="G106" s="20"/>
      <c r="H106" s="21" t="str">
        <f aca="false">IF(AND(F106="",G106=""),"",SUM(F$7:F106)-SUM(G$7:G106))</f>
        <v/>
      </c>
    </row>
    <row r="107" customFormat="false" ht="15" hidden="false" customHeight="false" outlineLevel="0" collapsed="false">
      <c r="A107" s="17"/>
      <c r="B107" s="18"/>
      <c r="C107" s="18"/>
      <c r="D107" s="18"/>
      <c r="E107" s="19"/>
      <c r="F107" s="20"/>
      <c r="G107" s="20"/>
      <c r="H107" s="21" t="str">
        <f aca="false">IF(AND(F107="",G107=""),"",SUM(F$7:F107)-SUM(G$7:G107))</f>
        <v/>
      </c>
    </row>
    <row r="108" customFormat="false" ht="15" hidden="false" customHeight="false" outlineLevel="0" collapsed="false">
      <c r="A108" s="17"/>
      <c r="B108" s="18"/>
      <c r="C108" s="18"/>
      <c r="D108" s="18"/>
      <c r="E108" s="19"/>
      <c r="F108" s="20"/>
      <c r="G108" s="20"/>
      <c r="H108" s="21" t="str">
        <f aca="false">IF(AND(F108="",G108=""),"",SUM(F$7:F108)-SUM(G$7:G108))</f>
        <v/>
      </c>
    </row>
    <row r="109" customFormat="false" ht="15" hidden="false" customHeight="false" outlineLevel="0" collapsed="false">
      <c r="A109" s="17"/>
      <c r="B109" s="18"/>
      <c r="C109" s="18"/>
      <c r="D109" s="18"/>
      <c r="E109" s="19"/>
      <c r="F109" s="20"/>
      <c r="G109" s="20"/>
      <c r="H109" s="21" t="str">
        <f aca="false">IF(AND(F109="",G109=""),"",SUM(F$7:F109)-SUM(G$7:G109))</f>
        <v/>
      </c>
    </row>
    <row r="110" customFormat="false" ht="15" hidden="false" customHeight="false" outlineLevel="0" collapsed="false">
      <c r="A110" s="17"/>
      <c r="B110" s="18"/>
      <c r="C110" s="18"/>
      <c r="D110" s="18"/>
      <c r="E110" s="19"/>
      <c r="F110" s="20"/>
      <c r="G110" s="20"/>
      <c r="H110" s="21" t="str">
        <f aca="false">IF(AND(F110="",G110=""),"",SUM(F$7:F110)-SUM(G$7:G110))</f>
        <v/>
      </c>
    </row>
    <row r="111" customFormat="false" ht="15" hidden="false" customHeight="false" outlineLevel="0" collapsed="false">
      <c r="A111" s="17"/>
      <c r="B111" s="18"/>
      <c r="C111" s="18"/>
      <c r="D111" s="18"/>
      <c r="E111" s="19"/>
      <c r="F111" s="20"/>
      <c r="G111" s="20"/>
      <c r="H111" s="21" t="str">
        <f aca="false">IF(AND(F111="",G111=""),"",SUM(F$7:F111)-SUM(G$7:G111))</f>
        <v/>
      </c>
    </row>
    <row r="112" customFormat="false" ht="15" hidden="false" customHeight="false" outlineLevel="0" collapsed="false">
      <c r="A112" s="17"/>
      <c r="B112" s="18"/>
      <c r="C112" s="18"/>
      <c r="D112" s="18"/>
      <c r="E112" s="19"/>
      <c r="F112" s="20"/>
      <c r="G112" s="20"/>
      <c r="H112" s="21" t="str">
        <f aca="false">IF(AND(F112="",G112=""),"",SUM(F$7:F112)-SUM(G$7:G112))</f>
        <v/>
      </c>
    </row>
    <row r="113" customFormat="false" ht="15" hidden="false" customHeight="false" outlineLevel="0" collapsed="false">
      <c r="A113" s="17"/>
      <c r="B113" s="18"/>
      <c r="C113" s="18"/>
      <c r="D113" s="18"/>
      <c r="E113" s="19"/>
      <c r="F113" s="20"/>
      <c r="G113" s="20"/>
      <c r="H113" s="21" t="str">
        <f aca="false">IF(AND(F113="",G113=""),"",SUM(F$7:F113)-SUM(G$7:G113))</f>
        <v/>
      </c>
    </row>
    <row r="114" customFormat="false" ht="15" hidden="false" customHeight="false" outlineLevel="0" collapsed="false">
      <c r="A114" s="17"/>
      <c r="B114" s="18"/>
      <c r="C114" s="18"/>
      <c r="D114" s="18"/>
      <c r="E114" s="19"/>
      <c r="F114" s="20"/>
      <c r="G114" s="20"/>
      <c r="H114" s="21" t="str">
        <f aca="false">IF(AND(F114="",G114=""),"",SUM(F$7:F114)-SUM(G$7:G114))</f>
        <v/>
      </c>
    </row>
    <row r="115" customFormat="false" ht="15" hidden="false" customHeight="false" outlineLevel="0" collapsed="false">
      <c r="A115" s="17"/>
      <c r="B115" s="18"/>
      <c r="C115" s="18"/>
      <c r="D115" s="18"/>
      <c r="E115" s="19"/>
      <c r="F115" s="20"/>
      <c r="G115" s="20"/>
      <c r="H115" s="21" t="str">
        <f aca="false">IF(AND(F115="",G115=""),"",SUM(F$7:F115)-SUM(G$7:G115))</f>
        <v/>
      </c>
    </row>
    <row r="116" customFormat="false" ht="15" hidden="false" customHeight="false" outlineLevel="0" collapsed="false">
      <c r="A116" s="17"/>
      <c r="B116" s="18"/>
      <c r="C116" s="18"/>
      <c r="D116" s="18"/>
      <c r="E116" s="19"/>
      <c r="F116" s="20"/>
      <c r="G116" s="20"/>
      <c r="H116" s="21" t="str">
        <f aca="false">IF(AND(F116="",G116=""),"",SUM(F$7:F116)-SUM(G$7:G116))</f>
        <v/>
      </c>
    </row>
    <row r="117" customFormat="false" ht="15" hidden="false" customHeight="false" outlineLevel="0" collapsed="false">
      <c r="A117" s="17"/>
      <c r="B117" s="18"/>
      <c r="C117" s="18"/>
      <c r="D117" s="18"/>
      <c r="E117" s="19"/>
      <c r="F117" s="20"/>
      <c r="G117" s="20"/>
      <c r="H117" s="21" t="str">
        <f aca="false">IF(AND(F117="",G117=""),"",SUM(F$7:F117)-SUM(G$7:G117))</f>
        <v/>
      </c>
    </row>
    <row r="118" customFormat="false" ht="15" hidden="false" customHeight="false" outlineLevel="0" collapsed="false">
      <c r="A118" s="17"/>
      <c r="B118" s="18"/>
      <c r="C118" s="18"/>
      <c r="D118" s="18"/>
      <c r="E118" s="19"/>
      <c r="F118" s="20"/>
      <c r="G118" s="20"/>
      <c r="H118" s="21" t="str">
        <f aca="false">IF(AND(F118="",G118=""),"",SUM(F$7:F118)-SUM(G$7:G118))</f>
        <v/>
      </c>
    </row>
    <row r="119" customFormat="false" ht="15" hidden="false" customHeight="false" outlineLevel="0" collapsed="false">
      <c r="A119" s="17"/>
      <c r="B119" s="18"/>
      <c r="C119" s="18"/>
      <c r="D119" s="18"/>
      <c r="E119" s="19"/>
      <c r="F119" s="20"/>
      <c r="G119" s="20"/>
      <c r="H119" s="21" t="str">
        <f aca="false">IF(AND(F119="",G119=""),"",SUM(F$7:F119)-SUM(G$7:G119))</f>
        <v/>
      </c>
    </row>
    <row r="120" customFormat="false" ht="15" hidden="false" customHeight="false" outlineLevel="0" collapsed="false">
      <c r="A120" s="17"/>
      <c r="B120" s="18"/>
      <c r="C120" s="18"/>
      <c r="D120" s="18"/>
      <c r="E120" s="19"/>
      <c r="F120" s="20"/>
      <c r="G120" s="20"/>
      <c r="H120" s="21" t="str">
        <f aca="false">IF(AND(F120="",G120=""),"",SUM(F$7:F120)-SUM(G$7:G120))</f>
        <v/>
      </c>
    </row>
    <row r="121" customFormat="false" ht="15" hidden="false" customHeight="false" outlineLevel="0" collapsed="false">
      <c r="A121" s="17"/>
      <c r="B121" s="18"/>
      <c r="C121" s="18"/>
      <c r="D121" s="18"/>
      <c r="E121" s="19"/>
      <c r="F121" s="20"/>
      <c r="G121" s="20"/>
      <c r="H121" s="21" t="str">
        <f aca="false">IF(AND(F121="",G121=""),"",SUM(F$7:F121)-SUM(G$7:G121))</f>
        <v/>
      </c>
    </row>
    <row r="122" customFormat="false" ht="15" hidden="false" customHeight="false" outlineLevel="0" collapsed="false">
      <c r="A122" s="17"/>
      <c r="B122" s="18"/>
      <c r="C122" s="18"/>
      <c r="D122" s="18"/>
      <c r="E122" s="19"/>
      <c r="F122" s="20"/>
      <c r="G122" s="20"/>
      <c r="H122" s="21" t="str">
        <f aca="false">IF(AND(F122="",G122=""),"",SUM(F$7:F122)-SUM(G$7:G122))</f>
        <v/>
      </c>
    </row>
    <row r="123" customFormat="false" ht="15" hidden="false" customHeight="false" outlineLevel="0" collapsed="false">
      <c r="A123" s="17"/>
      <c r="B123" s="18"/>
      <c r="C123" s="18"/>
      <c r="D123" s="18"/>
      <c r="E123" s="19"/>
      <c r="F123" s="20"/>
      <c r="G123" s="20"/>
      <c r="H123" s="21" t="str">
        <f aca="false">IF(AND(F123="",G123=""),"",SUM(F$7:F123)-SUM(G$7:G123))</f>
        <v/>
      </c>
    </row>
    <row r="124" customFormat="false" ht="15" hidden="false" customHeight="false" outlineLevel="0" collapsed="false">
      <c r="A124" s="17"/>
      <c r="B124" s="18"/>
      <c r="C124" s="18"/>
      <c r="D124" s="18"/>
      <c r="E124" s="19"/>
      <c r="F124" s="20"/>
      <c r="G124" s="20"/>
      <c r="H124" s="21" t="str">
        <f aca="false">IF(AND(F124="",G124=""),"",SUM(F$7:F124)-SUM(G$7:G124))</f>
        <v/>
      </c>
    </row>
    <row r="125" customFormat="false" ht="15" hidden="false" customHeight="false" outlineLevel="0" collapsed="false">
      <c r="A125" s="17"/>
      <c r="B125" s="18"/>
      <c r="C125" s="18"/>
      <c r="D125" s="18"/>
      <c r="E125" s="19"/>
      <c r="F125" s="20"/>
      <c r="G125" s="20"/>
      <c r="H125" s="21" t="str">
        <f aca="false">IF(AND(F125="",G125=""),"",SUM(F$7:F125)-SUM(G$7:G125))</f>
        <v/>
      </c>
    </row>
    <row r="126" customFormat="false" ht="15" hidden="false" customHeight="false" outlineLevel="0" collapsed="false">
      <c r="A126" s="17"/>
      <c r="B126" s="18"/>
      <c r="C126" s="18"/>
      <c r="D126" s="18"/>
      <c r="E126" s="19"/>
      <c r="F126" s="20"/>
      <c r="G126" s="20"/>
      <c r="H126" s="21" t="str">
        <f aca="false">IF(AND(F126="",G126=""),"",SUM(F$7:F126)-SUM(G$7:G126))</f>
        <v/>
      </c>
    </row>
    <row r="127" customFormat="false" ht="15" hidden="false" customHeight="false" outlineLevel="0" collapsed="false">
      <c r="A127" s="17"/>
      <c r="B127" s="18"/>
      <c r="C127" s="18"/>
      <c r="D127" s="18"/>
      <c r="E127" s="19"/>
      <c r="F127" s="20"/>
      <c r="G127" s="20"/>
      <c r="H127" s="21" t="str">
        <f aca="false">IF(AND(F127="",G127=""),"",SUM(F$7:F127)-SUM(G$7:G127))</f>
        <v/>
      </c>
    </row>
    <row r="128" customFormat="false" ht="15" hidden="false" customHeight="false" outlineLevel="0" collapsed="false">
      <c r="A128" s="17"/>
      <c r="B128" s="18"/>
      <c r="C128" s="18"/>
      <c r="D128" s="18"/>
      <c r="E128" s="19"/>
      <c r="F128" s="20"/>
      <c r="G128" s="20"/>
      <c r="H128" s="21" t="str">
        <f aca="false">IF(AND(F128="",G128=""),"",SUM(F$7:F128)-SUM(G$7:G128))</f>
        <v/>
      </c>
    </row>
    <row r="129" customFormat="false" ht="15" hidden="false" customHeight="false" outlineLevel="0" collapsed="false">
      <c r="A129" s="17"/>
      <c r="B129" s="18"/>
      <c r="C129" s="18"/>
      <c r="D129" s="18"/>
      <c r="E129" s="19"/>
      <c r="F129" s="20"/>
      <c r="G129" s="20"/>
      <c r="H129" s="21" t="str">
        <f aca="false">IF(AND(F129="",G129=""),"",SUM(F$7:F129)-SUM(G$7:G129))</f>
        <v/>
      </c>
    </row>
    <row r="130" customFormat="false" ht="15" hidden="false" customHeight="false" outlineLevel="0" collapsed="false">
      <c r="A130" s="17"/>
      <c r="B130" s="18"/>
      <c r="C130" s="18"/>
      <c r="D130" s="18"/>
      <c r="E130" s="19"/>
      <c r="F130" s="20"/>
      <c r="G130" s="20"/>
      <c r="H130" s="21" t="str">
        <f aca="false">IF(AND(F130="",G130=""),"",SUM(F$7:F130)-SUM(G$7:G130))</f>
        <v/>
      </c>
    </row>
    <row r="131" customFormat="false" ht="15" hidden="false" customHeight="false" outlineLevel="0" collapsed="false">
      <c r="A131" s="17"/>
      <c r="B131" s="18"/>
      <c r="C131" s="18"/>
      <c r="D131" s="18"/>
      <c r="E131" s="19"/>
      <c r="F131" s="20"/>
      <c r="G131" s="20"/>
      <c r="H131" s="21" t="str">
        <f aca="false">IF(AND(F131="",G131=""),"",SUM(F$7:F131)-SUM(G$7:G131))</f>
        <v/>
      </c>
    </row>
    <row r="132" customFormat="false" ht="15" hidden="false" customHeight="false" outlineLevel="0" collapsed="false">
      <c r="A132" s="17"/>
      <c r="B132" s="18"/>
      <c r="C132" s="18"/>
      <c r="D132" s="18"/>
      <c r="E132" s="19"/>
      <c r="F132" s="20"/>
      <c r="G132" s="20"/>
      <c r="H132" s="21" t="str">
        <f aca="false">IF(AND(F132="",G132=""),"",SUM(F$7:F132)-SUM(G$7:G132))</f>
        <v/>
      </c>
    </row>
    <row r="133" customFormat="false" ht="15" hidden="false" customHeight="false" outlineLevel="0" collapsed="false">
      <c r="A133" s="17"/>
      <c r="B133" s="18"/>
      <c r="C133" s="18"/>
      <c r="D133" s="18"/>
      <c r="E133" s="19"/>
      <c r="F133" s="20"/>
      <c r="G133" s="20"/>
      <c r="H133" s="21" t="str">
        <f aca="false">IF(AND(F133="",G133=""),"",SUM(F$7:F133)-SUM(G$7:G133))</f>
        <v/>
      </c>
    </row>
    <row r="134" customFormat="false" ht="15" hidden="false" customHeight="false" outlineLevel="0" collapsed="false">
      <c r="A134" s="17"/>
      <c r="B134" s="18"/>
      <c r="C134" s="18"/>
      <c r="D134" s="18"/>
      <c r="E134" s="19"/>
      <c r="F134" s="20"/>
      <c r="G134" s="20"/>
      <c r="H134" s="21" t="str">
        <f aca="false">IF(AND(F134="",G134=""),"",SUM(F$7:F134)-SUM(G$7:G134))</f>
        <v/>
      </c>
    </row>
    <row r="135" customFormat="false" ht="15" hidden="false" customHeight="false" outlineLevel="0" collapsed="false">
      <c r="A135" s="17"/>
      <c r="B135" s="18"/>
      <c r="C135" s="18"/>
      <c r="D135" s="18"/>
      <c r="E135" s="19"/>
      <c r="F135" s="20"/>
      <c r="G135" s="20"/>
      <c r="H135" s="21" t="str">
        <f aca="false">IF(AND(F135="",G135=""),"",SUM(F$7:F135)-SUM(G$7:G135))</f>
        <v/>
      </c>
    </row>
    <row r="136" customFormat="false" ht="15" hidden="false" customHeight="false" outlineLevel="0" collapsed="false">
      <c r="A136" s="17"/>
      <c r="B136" s="18"/>
      <c r="C136" s="18"/>
      <c r="D136" s="18"/>
      <c r="E136" s="19"/>
      <c r="F136" s="20"/>
      <c r="G136" s="20"/>
      <c r="H136" s="21" t="str">
        <f aca="false">IF(AND(F136="",G136=""),"",SUM(F$7:F136)-SUM(G$7:G136))</f>
        <v/>
      </c>
    </row>
    <row r="137" customFormat="false" ht="15" hidden="false" customHeight="false" outlineLevel="0" collapsed="false">
      <c r="A137" s="17"/>
      <c r="B137" s="18"/>
      <c r="C137" s="18"/>
      <c r="D137" s="18"/>
      <c r="E137" s="19"/>
      <c r="F137" s="20"/>
      <c r="G137" s="20"/>
      <c r="H137" s="21" t="str">
        <f aca="false">IF(AND(F137="",G137=""),"",SUM(F$7:F137)-SUM(G$7:G137))</f>
        <v/>
      </c>
    </row>
    <row r="138" customFormat="false" ht="15" hidden="false" customHeight="false" outlineLevel="0" collapsed="false">
      <c r="A138" s="17"/>
      <c r="B138" s="18"/>
      <c r="C138" s="18"/>
      <c r="D138" s="18"/>
      <c r="E138" s="19"/>
      <c r="F138" s="20"/>
      <c r="G138" s="20"/>
      <c r="H138" s="21" t="str">
        <f aca="false">IF(AND(F138="",G138=""),"",SUM(F$7:F138)-SUM(G$7:G138))</f>
        <v/>
      </c>
    </row>
    <row r="139" customFormat="false" ht="15" hidden="false" customHeight="false" outlineLevel="0" collapsed="false">
      <c r="A139" s="17"/>
      <c r="B139" s="18"/>
      <c r="C139" s="18"/>
      <c r="D139" s="18"/>
      <c r="E139" s="19"/>
      <c r="F139" s="20"/>
      <c r="G139" s="20"/>
      <c r="H139" s="21" t="str">
        <f aca="false">IF(AND(F139="",G139=""),"",SUM(F$7:F139)-SUM(G$7:G139))</f>
        <v/>
      </c>
    </row>
    <row r="140" customFormat="false" ht="15" hidden="false" customHeight="false" outlineLevel="0" collapsed="false">
      <c r="A140" s="17"/>
      <c r="B140" s="18"/>
      <c r="C140" s="18"/>
      <c r="D140" s="18"/>
      <c r="E140" s="19"/>
      <c r="F140" s="20"/>
      <c r="G140" s="20"/>
      <c r="H140" s="21" t="str">
        <f aca="false">IF(AND(F140="",G140=""),"",SUM(F$7:F140)-SUM(G$7:G140))</f>
        <v/>
      </c>
    </row>
    <row r="141" customFormat="false" ht="15" hidden="false" customHeight="false" outlineLevel="0" collapsed="false">
      <c r="A141" s="17"/>
      <c r="B141" s="18"/>
      <c r="C141" s="18"/>
      <c r="D141" s="18"/>
      <c r="E141" s="19"/>
      <c r="F141" s="20"/>
      <c r="G141" s="20"/>
      <c r="H141" s="21" t="str">
        <f aca="false">IF(AND(F141="",G141=""),"",SUM(F$7:F141)-SUM(G$7:G141))</f>
        <v/>
      </c>
    </row>
    <row r="142" customFormat="false" ht="15" hidden="false" customHeight="false" outlineLevel="0" collapsed="false">
      <c r="A142" s="17"/>
      <c r="B142" s="18"/>
      <c r="C142" s="18"/>
      <c r="D142" s="18"/>
      <c r="E142" s="19"/>
      <c r="F142" s="20"/>
      <c r="G142" s="20"/>
      <c r="H142" s="21" t="str">
        <f aca="false">IF(AND(F142="",G142=""),"",SUM(F$7:F142)-SUM(G$7:G142))</f>
        <v/>
      </c>
    </row>
    <row r="143" customFormat="false" ht="15" hidden="false" customHeight="false" outlineLevel="0" collapsed="false">
      <c r="A143" s="17"/>
      <c r="B143" s="18"/>
      <c r="C143" s="18"/>
      <c r="D143" s="18"/>
      <c r="E143" s="19"/>
      <c r="F143" s="20"/>
      <c r="G143" s="20"/>
      <c r="H143" s="21" t="str">
        <f aca="false">IF(AND(F143="",G143=""),"",SUM(F$7:F143)-SUM(G$7:G143))</f>
        <v/>
      </c>
    </row>
    <row r="144" customFormat="false" ht="15" hidden="false" customHeight="false" outlineLevel="0" collapsed="false">
      <c r="A144" s="17"/>
      <c r="B144" s="18"/>
      <c r="C144" s="18"/>
      <c r="D144" s="18"/>
      <c r="E144" s="19"/>
      <c r="F144" s="20"/>
      <c r="G144" s="20"/>
      <c r="H144" s="21" t="str">
        <f aca="false">IF(AND(F144="",G144=""),"",SUM(F$7:F144)-SUM(G$7:G144))</f>
        <v/>
      </c>
    </row>
    <row r="145" customFormat="false" ht="15" hidden="false" customHeight="false" outlineLevel="0" collapsed="false">
      <c r="A145" s="17"/>
      <c r="B145" s="18"/>
      <c r="C145" s="18"/>
      <c r="D145" s="18"/>
      <c r="E145" s="19"/>
      <c r="F145" s="20"/>
      <c r="G145" s="20"/>
      <c r="H145" s="21" t="str">
        <f aca="false">IF(AND(F145="",G145=""),"",SUM(F$7:F145)-SUM(G$7:G145))</f>
        <v/>
      </c>
    </row>
    <row r="146" customFormat="false" ht="15" hidden="false" customHeight="false" outlineLevel="0" collapsed="false">
      <c r="A146" s="17"/>
      <c r="B146" s="18"/>
      <c r="C146" s="18"/>
      <c r="D146" s="18"/>
      <c r="E146" s="19"/>
      <c r="F146" s="20"/>
      <c r="G146" s="20"/>
      <c r="H146" s="21" t="str">
        <f aca="false">IF(AND(F146="",G146=""),"",SUM(F$7:F146)-SUM(G$7:G146))</f>
        <v/>
      </c>
    </row>
    <row r="147" customFormat="false" ht="15" hidden="false" customHeight="false" outlineLevel="0" collapsed="false">
      <c r="A147" s="17"/>
      <c r="B147" s="18"/>
      <c r="C147" s="18"/>
      <c r="D147" s="18"/>
      <c r="E147" s="19"/>
      <c r="F147" s="20"/>
      <c r="G147" s="20"/>
      <c r="H147" s="21" t="str">
        <f aca="false">IF(AND(F147="",G147=""),"",SUM(F$7:F147)-SUM(G$7:G147))</f>
        <v/>
      </c>
    </row>
    <row r="148" customFormat="false" ht="15" hidden="false" customHeight="false" outlineLevel="0" collapsed="false">
      <c r="A148" s="17"/>
      <c r="B148" s="18"/>
      <c r="C148" s="18"/>
      <c r="D148" s="18"/>
      <c r="E148" s="19"/>
      <c r="F148" s="20"/>
      <c r="G148" s="20"/>
      <c r="H148" s="21" t="str">
        <f aca="false">IF(AND(F148="",G148=""),"",SUM(F$7:F148)-SUM(G$7:G148))</f>
        <v/>
      </c>
    </row>
    <row r="149" customFormat="false" ht="15" hidden="false" customHeight="false" outlineLevel="0" collapsed="false">
      <c r="A149" s="17"/>
      <c r="B149" s="18"/>
      <c r="C149" s="18"/>
      <c r="D149" s="18"/>
      <c r="E149" s="19"/>
      <c r="F149" s="20"/>
      <c r="G149" s="20"/>
      <c r="H149" s="21" t="str">
        <f aca="false">IF(AND(F149="",G149=""),"",SUM(F$7:F149)-SUM(G$7:G149))</f>
        <v/>
      </c>
    </row>
    <row r="150" customFormat="false" ht="15" hidden="false" customHeight="false" outlineLevel="0" collapsed="false">
      <c r="A150" s="17"/>
      <c r="B150" s="18"/>
      <c r="C150" s="18"/>
      <c r="D150" s="18"/>
      <c r="E150" s="19"/>
      <c r="F150" s="20"/>
      <c r="G150" s="20"/>
      <c r="H150" s="21" t="str">
        <f aca="false">IF(AND(F150="",G150=""),"",SUM(F$7:F150)-SUM(G$7:G150))</f>
        <v/>
      </c>
    </row>
    <row r="151" customFormat="false" ht="15" hidden="false" customHeight="false" outlineLevel="0" collapsed="false">
      <c r="A151" s="17"/>
      <c r="B151" s="18"/>
      <c r="C151" s="18"/>
      <c r="D151" s="18"/>
      <c r="E151" s="19"/>
      <c r="F151" s="20"/>
      <c r="G151" s="20"/>
      <c r="H151" s="21" t="str">
        <f aca="false">IF(AND(F151="",G151=""),"",SUM(F$7:F151)-SUM(G$7:G151))</f>
        <v/>
      </c>
    </row>
    <row r="152" customFormat="false" ht="15" hidden="false" customHeight="false" outlineLevel="0" collapsed="false">
      <c r="A152" s="17"/>
      <c r="B152" s="18"/>
      <c r="C152" s="18"/>
      <c r="D152" s="18"/>
      <c r="E152" s="19"/>
      <c r="F152" s="20"/>
      <c r="G152" s="20"/>
      <c r="H152" s="21" t="str">
        <f aca="false">IF(AND(F152="",G152=""),"",SUM(F$7:F152)-SUM(G$7:G152))</f>
        <v/>
      </c>
    </row>
    <row r="153" customFormat="false" ht="15" hidden="false" customHeight="false" outlineLevel="0" collapsed="false">
      <c r="A153" s="17"/>
      <c r="B153" s="18"/>
      <c r="C153" s="18"/>
      <c r="D153" s="18"/>
      <c r="E153" s="19"/>
      <c r="F153" s="20"/>
      <c r="G153" s="20"/>
      <c r="H153" s="21" t="str">
        <f aca="false">IF(AND(F153="",G153=""),"",SUM(F$7:F153)-SUM(G$7:G153))</f>
        <v/>
      </c>
    </row>
    <row r="154" customFormat="false" ht="15" hidden="false" customHeight="false" outlineLevel="0" collapsed="false">
      <c r="A154" s="17"/>
      <c r="B154" s="18"/>
      <c r="C154" s="18"/>
      <c r="D154" s="18"/>
      <c r="E154" s="19"/>
      <c r="F154" s="20"/>
      <c r="G154" s="20"/>
      <c r="H154" s="21" t="str">
        <f aca="false">IF(AND(F154="",G154=""),"",SUM(F$7:F154)-SUM(G$7:G154))</f>
        <v/>
      </c>
    </row>
    <row r="155" customFormat="false" ht="15" hidden="false" customHeight="false" outlineLevel="0" collapsed="false">
      <c r="A155" s="17"/>
      <c r="B155" s="18"/>
      <c r="C155" s="18"/>
      <c r="D155" s="18"/>
      <c r="E155" s="19"/>
      <c r="F155" s="20"/>
      <c r="G155" s="20"/>
      <c r="H155" s="21" t="str">
        <f aca="false">IF(AND(F155="",G155=""),"",SUM(F$7:F155)-SUM(G$7:G155))</f>
        <v/>
      </c>
    </row>
    <row r="156" customFormat="false" ht="15" hidden="false" customHeight="false" outlineLevel="0" collapsed="false">
      <c r="A156" s="17"/>
      <c r="B156" s="18"/>
      <c r="C156" s="18"/>
      <c r="D156" s="18"/>
      <c r="E156" s="19"/>
      <c r="F156" s="20"/>
      <c r="G156" s="20"/>
      <c r="H156" s="21" t="str">
        <f aca="false">IF(AND(F156="",G156=""),"",SUM(F$7:F156)-SUM(G$7:G156))</f>
        <v/>
      </c>
    </row>
    <row r="157" customFormat="false" ht="15" hidden="false" customHeight="false" outlineLevel="0" collapsed="false">
      <c r="A157" s="17"/>
      <c r="B157" s="18"/>
      <c r="C157" s="18"/>
      <c r="D157" s="18"/>
      <c r="E157" s="19"/>
      <c r="F157" s="20"/>
      <c r="G157" s="20"/>
      <c r="H157" s="21" t="str">
        <f aca="false">IF(AND(F157="",G157=""),"",SUM(F$7:F157)-SUM(G$7:G157))</f>
        <v/>
      </c>
    </row>
    <row r="158" customFormat="false" ht="15" hidden="false" customHeight="false" outlineLevel="0" collapsed="false">
      <c r="A158" s="17"/>
      <c r="B158" s="18"/>
      <c r="C158" s="18"/>
      <c r="D158" s="18"/>
      <c r="E158" s="19"/>
      <c r="F158" s="20"/>
      <c r="G158" s="20"/>
      <c r="H158" s="21" t="str">
        <f aca="false">IF(AND(F158="",G158=""),"",SUM(F$7:F158)-SUM(G$7:G158))</f>
        <v/>
      </c>
    </row>
    <row r="159" customFormat="false" ht="15" hidden="false" customHeight="false" outlineLevel="0" collapsed="false">
      <c r="A159" s="17"/>
      <c r="B159" s="18"/>
      <c r="C159" s="18"/>
      <c r="D159" s="18"/>
      <c r="E159" s="19"/>
      <c r="F159" s="20"/>
      <c r="G159" s="20"/>
      <c r="H159" s="21" t="str">
        <f aca="false">IF(AND(F159="",G159=""),"",SUM(F$7:F159)-SUM(G$7:G159))</f>
        <v/>
      </c>
    </row>
    <row r="160" customFormat="false" ht="15" hidden="false" customHeight="false" outlineLevel="0" collapsed="false">
      <c r="A160" s="17"/>
      <c r="B160" s="18"/>
      <c r="C160" s="18"/>
      <c r="D160" s="18"/>
      <c r="E160" s="19"/>
      <c r="F160" s="20"/>
      <c r="G160" s="20"/>
      <c r="H160" s="21" t="str">
        <f aca="false">IF(AND(F160="",G160=""),"",SUM(F$7:F160)-SUM(G$7:G160))</f>
        <v/>
      </c>
    </row>
    <row r="161" customFormat="false" ht="15" hidden="false" customHeight="false" outlineLevel="0" collapsed="false">
      <c r="A161" s="17"/>
      <c r="B161" s="18"/>
      <c r="C161" s="18"/>
      <c r="D161" s="18"/>
      <c r="E161" s="19"/>
      <c r="F161" s="20"/>
      <c r="G161" s="20"/>
      <c r="H161" s="21" t="str">
        <f aca="false">IF(AND(F161="",G161=""),"",SUM(F$7:F161)-SUM(G$7:G161))</f>
        <v/>
      </c>
    </row>
    <row r="162" customFormat="false" ht="15" hidden="false" customHeight="false" outlineLevel="0" collapsed="false">
      <c r="A162" s="17"/>
      <c r="B162" s="18"/>
      <c r="C162" s="18"/>
      <c r="D162" s="18"/>
      <c r="E162" s="19"/>
      <c r="F162" s="20"/>
      <c r="G162" s="20"/>
      <c r="H162" s="21" t="str">
        <f aca="false">IF(AND(F162="",G162=""),"",SUM(F$7:F162)-SUM(G$7:G162))</f>
        <v/>
      </c>
    </row>
    <row r="163" customFormat="false" ht="15" hidden="false" customHeight="false" outlineLevel="0" collapsed="false">
      <c r="A163" s="17"/>
      <c r="B163" s="18"/>
      <c r="C163" s="18"/>
      <c r="D163" s="18"/>
      <c r="E163" s="19"/>
      <c r="F163" s="20"/>
      <c r="G163" s="20"/>
      <c r="H163" s="21" t="str">
        <f aca="false">IF(AND(F163="",G163=""),"",SUM(F$7:F163)-SUM(G$7:G163))</f>
        <v/>
      </c>
    </row>
    <row r="164" customFormat="false" ht="15" hidden="false" customHeight="false" outlineLevel="0" collapsed="false">
      <c r="A164" s="17"/>
      <c r="B164" s="18"/>
      <c r="C164" s="18"/>
      <c r="D164" s="18"/>
      <c r="E164" s="19"/>
      <c r="F164" s="20"/>
      <c r="G164" s="20"/>
      <c r="H164" s="21" t="str">
        <f aca="false">IF(AND(F164="",G164=""),"",SUM(F$7:F164)-SUM(G$7:G164))</f>
        <v/>
      </c>
    </row>
    <row r="165" customFormat="false" ht="15" hidden="false" customHeight="false" outlineLevel="0" collapsed="false">
      <c r="A165" s="17"/>
      <c r="B165" s="18"/>
      <c r="C165" s="18"/>
      <c r="D165" s="18"/>
      <c r="E165" s="19"/>
      <c r="F165" s="20"/>
      <c r="G165" s="20"/>
      <c r="H165" s="21" t="str">
        <f aca="false">IF(AND(F165="",G165=""),"",SUM(F$7:F165)-SUM(G$7:G165))</f>
        <v/>
      </c>
    </row>
    <row r="166" customFormat="false" ht="15" hidden="false" customHeight="false" outlineLevel="0" collapsed="false">
      <c r="A166" s="17"/>
      <c r="B166" s="18"/>
      <c r="C166" s="18"/>
      <c r="D166" s="18"/>
      <c r="E166" s="19"/>
      <c r="F166" s="20"/>
      <c r="G166" s="20"/>
      <c r="H166" s="21" t="str">
        <f aca="false">IF(AND(F166="",G166=""),"",SUM(F$7:F166)-SUM(G$7:G166))</f>
        <v/>
      </c>
    </row>
    <row r="167" customFormat="false" ht="15" hidden="false" customHeight="false" outlineLevel="0" collapsed="false">
      <c r="A167" s="17"/>
      <c r="B167" s="18"/>
      <c r="C167" s="18"/>
      <c r="D167" s="18"/>
      <c r="E167" s="19"/>
      <c r="F167" s="20"/>
      <c r="G167" s="20"/>
      <c r="H167" s="21" t="str">
        <f aca="false">IF(AND(F167="",G167=""),"",SUM(F$7:F167)-SUM(G$7:G167))</f>
        <v/>
      </c>
    </row>
    <row r="168" customFormat="false" ht="15" hidden="false" customHeight="false" outlineLevel="0" collapsed="false">
      <c r="A168" s="17"/>
      <c r="B168" s="18"/>
      <c r="C168" s="18"/>
      <c r="D168" s="18"/>
      <c r="E168" s="19"/>
      <c r="F168" s="20"/>
      <c r="G168" s="20"/>
      <c r="H168" s="21" t="str">
        <f aca="false">IF(AND(F168="",G168=""),"",SUM(F$7:F168)-SUM(G$7:G168))</f>
        <v/>
      </c>
    </row>
    <row r="169" customFormat="false" ht="15" hidden="false" customHeight="false" outlineLevel="0" collapsed="false">
      <c r="A169" s="17"/>
      <c r="B169" s="18"/>
      <c r="C169" s="18"/>
      <c r="D169" s="18"/>
      <c r="E169" s="19"/>
      <c r="F169" s="20"/>
      <c r="G169" s="20"/>
      <c r="H169" s="21" t="str">
        <f aca="false">IF(AND(F169="",G169=""),"",SUM(F$7:F169)-SUM(G$7:G169))</f>
        <v/>
      </c>
    </row>
    <row r="170" customFormat="false" ht="15" hidden="false" customHeight="false" outlineLevel="0" collapsed="false">
      <c r="A170" s="17"/>
      <c r="B170" s="18"/>
      <c r="C170" s="18"/>
      <c r="D170" s="18"/>
      <c r="E170" s="19"/>
      <c r="F170" s="20"/>
      <c r="G170" s="20"/>
      <c r="H170" s="21" t="str">
        <f aca="false">IF(AND(F170="",G170=""),"",SUM(F$7:F170)-SUM(G$7:G170))</f>
        <v/>
      </c>
    </row>
    <row r="171" customFormat="false" ht="15" hidden="false" customHeight="false" outlineLevel="0" collapsed="false">
      <c r="A171" s="17"/>
      <c r="B171" s="18"/>
      <c r="C171" s="18"/>
      <c r="D171" s="18"/>
      <c r="E171" s="19"/>
      <c r="F171" s="20"/>
      <c r="G171" s="20"/>
      <c r="H171" s="21" t="str">
        <f aca="false">IF(AND(F171="",G171=""),"",SUM(F$7:F171)-SUM(G$7:G171))</f>
        <v/>
      </c>
    </row>
    <row r="172" customFormat="false" ht="15" hidden="false" customHeight="false" outlineLevel="0" collapsed="false">
      <c r="A172" s="17"/>
      <c r="B172" s="18"/>
      <c r="C172" s="18"/>
      <c r="D172" s="18"/>
      <c r="E172" s="19"/>
      <c r="F172" s="20"/>
      <c r="G172" s="20"/>
      <c r="H172" s="21" t="str">
        <f aca="false">IF(AND(F172="",G172=""),"",SUM(F$7:F172)-SUM(G$7:G172))</f>
        <v/>
      </c>
    </row>
    <row r="173" customFormat="false" ht="15" hidden="false" customHeight="false" outlineLevel="0" collapsed="false">
      <c r="A173" s="17"/>
      <c r="B173" s="18"/>
      <c r="C173" s="18"/>
      <c r="D173" s="18"/>
      <c r="E173" s="19"/>
      <c r="F173" s="20"/>
      <c r="G173" s="20"/>
      <c r="H173" s="21" t="str">
        <f aca="false">IF(AND(F173="",G173=""),"",SUM(F$7:F173)-SUM(G$7:G173))</f>
        <v/>
      </c>
    </row>
    <row r="174" customFormat="false" ht="15" hidden="false" customHeight="false" outlineLevel="0" collapsed="false">
      <c r="A174" s="17"/>
      <c r="B174" s="18"/>
      <c r="C174" s="18"/>
      <c r="D174" s="18"/>
      <c r="E174" s="19"/>
      <c r="F174" s="20"/>
      <c r="G174" s="20"/>
      <c r="H174" s="21" t="str">
        <f aca="false">IF(AND(F174="",G174=""),"",SUM(F$7:F174)-SUM(G$7:G174))</f>
        <v/>
      </c>
    </row>
    <row r="175" customFormat="false" ht="15" hidden="false" customHeight="false" outlineLevel="0" collapsed="false">
      <c r="A175" s="17"/>
      <c r="B175" s="18"/>
      <c r="C175" s="18"/>
      <c r="D175" s="18"/>
      <c r="E175" s="19"/>
      <c r="F175" s="20"/>
      <c r="G175" s="20"/>
      <c r="H175" s="21" t="str">
        <f aca="false">IF(AND(F175="",G175=""),"",SUM(F$7:F175)-SUM(G$7:G175))</f>
        <v/>
      </c>
    </row>
    <row r="176" customFormat="false" ht="15" hidden="false" customHeight="false" outlineLevel="0" collapsed="false">
      <c r="A176" s="17"/>
      <c r="B176" s="18"/>
      <c r="C176" s="18"/>
      <c r="D176" s="18"/>
      <c r="E176" s="19"/>
      <c r="F176" s="20"/>
      <c r="G176" s="20"/>
      <c r="H176" s="21" t="str">
        <f aca="false">IF(AND(F176="",G176=""),"",SUM(F$7:F176)-SUM(G$7:G176))</f>
        <v/>
      </c>
    </row>
    <row r="177" customFormat="false" ht="15" hidden="false" customHeight="false" outlineLevel="0" collapsed="false">
      <c r="A177" s="17"/>
      <c r="B177" s="18"/>
      <c r="C177" s="18"/>
      <c r="D177" s="18"/>
      <c r="E177" s="19"/>
      <c r="F177" s="20"/>
      <c r="G177" s="20"/>
      <c r="H177" s="21" t="str">
        <f aca="false">IF(AND(F177="",G177=""),"",SUM(F$7:F177)-SUM(G$7:G177))</f>
        <v/>
      </c>
    </row>
    <row r="178" customFormat="false" ht="15" hidden="false" customHeight="false" outlineLevel="0" collapsed="false">
      <c r="A178" s="17"/>
      <c r="B178" s="18"/>
      <c r="C178" s="18"/>
      <c r="D178" s="18"/>
      <c r="E178" s="19"/>
      <c r="F178" s="20"/>
      <c r="G178" s="20"/>
      <c r="H178" s="21" t="str">
        <f aca="false">IF(AND(F178="",G178=""),"",SUM(F$7:F178)-SUM(G$7:G178))</f>
        <v/>
      </c>
    </row>
    <row r="179" customFormat="false" ht="15" hidden="false" customHeight="false" outlineLevel="0" collapsed="false">
      <c r="A179" s="17"/>
      <c r="B179" s="18"/>
      <c r="C179" s="18"/>
      <c r="D179" s="18"/>
      <c r="E179" s="19"/>
      <c r="F179" s="20"/>
      <c r="G179" s="20"/>
      <c r="H179" s="21" t="str">
        <f aca="false">IF(AND(F179="",G179=""),"",SUM(F$7:F179)-SUM(G$7:G179))</f>
        <v/>
      </c>
    </row>
    <row r="180" customFormat="false" ht="15" hidden="false" customHeight="false" outlineLevel="0" collapsed="false">
      <c r="A180" s="17"/>
      <c r="B180" s="18"/>
      <c r="C180" s="18"/>
      <c r="D180" s="18"/>
      <c r="E180" s="19"/>
      <c r="F180" s="20"/>
      <c r="G180" s="20"/>
      <c r="H180" s="21" t="str">
        <f aca="false">IF(AND(F180="",G180=""),"",SUM(F$7:F180)-SUM(G$7:G180))</f>
        <v/>
      </c>
    </row>
    <row r="181" customFormat="false" ht="15" hidden="false" customHeight="false" outlineLevel="0" collapsed="false">
      <c r="A181" s="17"/>
      <c r="B181" s="18"/>
      <c r="C181" s="18"/>
      <c r="D181" s="18"/>
      <c r="E181" s="19"/>
      <c r="F181" s="20"/>
      <c r="G181" s="20"/>
      <c r="H181" s="21" t="str">
        <f aca="false">IF(AND(F181="",G181=""),"",SUM(F$7:F181)-SUM(G$7:G181))</f>
        <v/>
      </c>
    </row>
    <row r="182" customFormat="false" ht="15" hidden="false" customHeight="false" outlineLevel="0" collapsed="false">
      <c r="A182" s="17"/>
      <c r="B182" s="18"/>
      <c r="C182" s="18"/>
      <c r="D182" s="18"/>
      <c r="E182" s="19"/>
      <c r="F182" s="20"/>
      <c r="G182" s="20"/>
      <c r="H182" s="21" t="str">
        <f aca="false">IF(AND(F182="",G182=""),"",SUM(F$7:F182)-SUM(G$7:G182))</f>
        <v/>
      </c>
    </row>
    <row r="183" customFormat="false" ht="15" hidden="false" customHeight="false" outlineLevel="0" collapsed="false">
      <c r="A183" s="17"/>
      <c r="B183" s="18"/>
      <c r="C183" s="18"/>
      <c r="D183" s="18"/>
      <c r="E183" s="19"/>
      <c r="F183" s="20"/>
      <c r="G183" s="20"/>
      <c r="H183" s="21" t="str">
        <f aca="false">IF(AND(F183="",G183=""),"",SUM(F$7:F183)-SUM(G$7:G183))</f>
        <v/>
      </c>
    </row>
    <row r="184" customFormat="false" ht="15" hidden="false" customHeight="false" outlineLevel="0" collapsed="false">
      <c r="A184" s="17"/>
      <c r="B184" s="18"/>
      <c r="C184" s="18"/>
      <c r="D184" s="18"/>
      <c r="E184" s="19"/>
      <c r="F184" s="20"/>
      <c r="G184" s="20"/>
      <c r="H184" s="21" t="str">
        <f aca="false">IF(AND(F184="",G184=""),"",SUM(F$7:F184)-SUM(G$7:G184))</f>
        <v/>
      </c>
    </row>
    <row r="185" customFormat="false" ht="15" hidden="false" customHeight="false" outlineLevel="0" collapsed="false">
      <c r="A185" s="17"/>
      <c r="B185" s="18"/>
      <c r="C185" s="18"/>
      <c r="D185" s="18"/>
      <c r="E185" s="19"/>
      <c r="F185" s="20"/>
      <c r="G185" s="20"/>
      <c r="H185" s="21" t="str">
        <f aca="false">IF(AND(F185="",G185=""),"",SUM(F$7:F185)-SUM(G$7:G185))</f>
        <v/>
      </c>
    </row>
    <row r="186" customFormat="false" ht="15" hidden="false" customHeight="false" outlineLevel="0" collapsed="false">
      <c r="A186" s="17"/>
      <c r="B186" s="18"/>
      <c r="C186" s="18"/>
      <c r="D186" s="18"/>
      <c r="E186" s="19"/>
      <c r="F186" s="20"/>
      <c r="G186" s="20"/>
      <c r="H186" s="21" t="str">
        <f aca="false">IF(AND(F186="",G186=""),"",SUM(F$7:F186)-SUM(G$7:G186))</f>
        <v/>
      </c>
    </row>
    <row r="187" customFormat="false" ht="15" hidden="false" customHeight="false" outlineLevel="0" collapsed="false">
      <c r="A187" s="17"/>
      <c r="B187" s="18"/>
      <c r="C187" s="18"/>
      <c r="D187" s="18"/>
      <c r="E187" s="19"/>
      <c r="F187" s="20"/>
      <c r="G187" s="20"/>
      <c r="H187" s="21" t="str">
        <f aca="false">IF(AND(F187="",G187=""),"",SUM(F$7:F187)-SUM(G$7:G187))</f>
        <v/>
      </c>
    </row>
    <row r="188" customFormat="false" ht="15" hidden="false" customHeight="false" outlineLevel="0" collapsed="false">
      <c r="A188" s="17"/>
      <c r="B188" s="18"/>
      <c r="C188" s="18"/>
      <c r="D188" s="18"/>
      <c r="E188" s="19"/>
      <c r="F188" s="20"/>
      <c r="G188" s="20"/>
      <c r="H188" s="21" t="str">
        <f aca="false">IF(AND(F188="",G188=""),"",SUM(F$7:F188)-SUM(G$7:G188))</f>
        <v/>
      </c>
    </row>
    <row r="189" customFormat="false" ht="15" hidden="false" customHeight="false" outlineLevel="0" collapsed="false">
      <c r="A189" s="17"/>
      <c r="B189" s="18"/>
      <c r="C189" s="18"/>
      <c r="D189" s="18"/>
      <c r="E189" s="19"/>
      <c r="F189" s="20"/>
      <c r="G189" s="20"/>
      <c r="H189" s="21" t="str">
        <f aca="false">IF(AND(F189="",G189=""),"",SUM(F$7:F189)-SUM(G$7:G189))</f>
        <v/>
      </c>
    </row>
    <row r="190" customFormat="false" ht="15" hidden="false" customHeight="false" outlineLevel="0" collapsed="false">
      <c r="A190" s="17"/>
      <c r="B190" s="18"/>
      <c r="C190" s="18"/>
      <c r="D190" s="18"/>
      <c r="E190" s="19"/>
      <c r="F190" s="20"/>
      <c r="G190" s="20"/>
      <c r="H190" s="21" t="str">
        <f aca="false">IF(AND(F190="",G190=""),"",SUM(F$7:F190)-SUM(G$7:G190))</f>
        <v/>
      </c>
    </row>
    <row r="191" customFormat="false" ht="15" hidden="false" customHeight="false" outlineLevel="0" collapsed="false">
      <c r="A191" s="17"/>
      <c r="B191" s="18"/>
      <c r="C191" s="18"/>
      <c r="D191" s="18"/>
      <c r="E191" s="19"/>
      <c r="F191" s="20"/>
      <c r="G191" s="20"/>
      <c r="H191" s="21" t="str">
        <f aca="false">IF(AND(F191="",G191=""),"",SUM(F$7:F191)-SUM(G$7:G191))</f>
        <v/>
      </c>
    </row>
    <row r="192" customFormat="false" ht="15" hidden="false" customHeight="false" outlineLevel="0" collapsed="false">
      <c r="A192" s="17"/>
      <c r="B192" s="18"/>
      <c r="C192" s="18"/>
      <c r="D192" s="18"/>
      <c r="E192" s="19"/>
      <c r="F192" s="20"/>
      <c r="G192" s="20"/>
      <c r="H192" s="21" t="str">
        <f aca="false">IF(AND(F192="",G192=""),"",SUM(F$7:F192)-SUM(G$7:G192))</f>
        <v/>
      </c>
    </row>
    <row r="193" customFormat="false" ht="15" hidden="false" customHeight="false" outlineLevel="0" collapsed="false">
      <c r="A193" s="17"/>
      <c r="B193" s="18"/>
      <c r="C193" s="18"/>
      <c r="D193" s="18"/>
      <c r="E193" s="19"/>
      <c r="F193" s="20"/>
      <c r="G193" s="20"/>
      <c r="H193" s="21" t="str">
        <f aca="false">IF(AND(F193="",G193=""),"",SUM(F$7:F193)-SUM(G$7:G193))</f>
        <v/>
      </c>
    </row>
    <row r="194" customFormat="false" ht="15" hidden="false" customHeight="false" outlineLevel="0" collapsed="false">
      <c r="A194" s="17"/>
      <c r="B194" s="18"/>
      <c r="C194" s="18"/>
      <c r="D194" s="18"/>
      <c r="E194" s="19"/>
      <c r="F194" s="20"/>
      <c r="G194" s="20"/>
      <c r="H194" s="21" t="str">
        <f aca="false">IF(AND(F194="",G194=""),"",SUM(F$7:F194)-SUM(G$7:G194))</f>
        <v/>
      </c>
    </row>
    <row r="195" customFormat="false" ht="15" hidden="false" customHeight="false" outlineLevel="0" collapsed="false">
      <c r="A195" s="17"/>
      <c r="B195" s="18"/>
      <c r="C195" s="18"/>
      <c r="D195" s="18"/>
      <c r="E195" s="19"/>
      <c r="F195" s="20"/>
      <c r="G195" s="20"/>
      <c r="H195" s="21" t="str">
        <f aca="false">IF(AND(F195="",G195=""),"",SUM(F$7:F195)-SUM(G$7:G195))</f>
        <v/>
      </c>
    </row>
    <row r="196" customFormat="false" ht="15" hidden="false" customHeight="false" outlineLevel="0" collapsed="false">
      <c r="A196" s="17"/>
      <c r="B196" s="18"/>
      <c r="C196" s="18"/>
      <c r="D196" s="18"/>
      <c r="E196" s="19"/>
      <c r="F196" s="20"/>
      <c r="G196" s="20"/>
      <c r="H196" s="21" t="str">
        <f aca="false">IF(AND(F196="",G196=""),"",SUM(F$7:F196)-SUM(G$7:G196))</f>
        <v/>
      </c>
    </row>
    <row r="197" customFormat="false" ht="15" hidden="false" customHeight="false" outlineLevel="0" collapsed="false">
      <c r="A197" s="17"/>
      <c r="B197" s="18"/>
      <c r="C197" s="18"/>
      <c r="D197" s="18"/>
      <c r="E197" s="19"/>
      <c r="F197" s="20"/>
      <c r="G197" s="20"/>
      <c r="H197" s="21" t="str">
        <f aca="false">IF(AND(F197="",G197=""),"",SUM(F$7:F197)-SUM(G$7:G197))</f>
        <v/>
      </c>
    </row>
    <row r="198" customFormat="false" ht="15" hidden="false" customHeight="false" outlineLevel="0" collapsed="false">
      <c r="A198" s="17"/>
      <c r="B198" s="18"/>
      <c r="C198" s="18"/>
      <c r="D198" s="18"/>
      <c r="E198" s="19"/>
      <c r="F198" s="20"/>
      <c r="G198" s="20"/>
      <c r="H198" s="21" t="str">
        <f aca="false">IF(AND(F198="",G198=""),"",SUM(F$7:F198)-SUM(G$7:G198))</f>
        <v/>
      </c>
    </row>
    <row r="199" customFormat="false" ht="15" hidden="false" customHeight="false" outlineLevel="0" collapsed="false">
      <c r="A199" s="17"/>
      <c r="B199" s="18"/>
      <c r="C199" s="18"/>
      <c r="D199" s="18"/>
      <c r="E199" s="19"/>
      <c r="F199" s="20"/>
      <c r="G199" s="20"/>
      <c r="H199" s="21" t="str">
        <f aca="false">IF(AND(F199="",G199=""),"",SUM(F$7:F199)-SUM(G$7:G199))</f>
        <v/>
      </c>
    </row>
    <row r="200" customFormat="false" ht="15" hidden="false" customHeight="false" outlineLevel="0" collapsed="false">
      <c r="A200" s="17"/>
      <c r="B200" s="18"/>
      <c r="C200" s="18"/>
      <c r="D200" s="18"/>
      <c r="E200" s="19"/>
      <c r="F200" s="20"/>
      <c r="G200" s="20"/>
      <c r="H200" s="21" t="str">
        <f aca="false">IF(AND(F200="",G200=""),"",SUM(F$7:F200)-SUM(G$7:G200))</f>
        <v/>
      </c>
    </row>
    <row r="201" customFormat="false" ht="15" hidden="false" customHeight="false" outlineLevel="0" collapsed="false">
      <c r="A201" s="17"/>
      <c r="B201" s="18"/>
      <c r="C201" s="18"/>
      <c r="D201" s="18"/>
      <c r="E201" s="19"/>
      <c r="F201" s="20"/>
      <c r="G201" s="20"/>
      <c r="H201" s="21" t="str">
        <f aca="false">IF(AND(F201="",G201=""),"",SUM(F$7:F201)-SUM(G$7:G201))</f>
        <v/>
      </c>
    </row>
    <row r="202" customFormat="false" ht="15" hidden="false" customHeight="false" outlineLevel="0" collapsed="false">
      <c r="A202" s="17"/>
      <c r="B202" s="18"/>
      <c r="C202" s="18"/>
      <c r="D202" s="18"/>
      <c r="E202" s="19"/>
      <c r="F202" s="20"/>
      <c r="G202" s="20"/>
      <c r="H202" s="21" t="str">
        <f aca="false">IF(AND(F202="",G202=""),"",SUM(F$7:F202)-SUM(G$7:G202))</f>
        <v/>
      </c>
    </row>
    <row r="203" customFormat="false" ht="15" hidden="false" customHeight="false" outlineLevel="0" collapsed="false">
      <c r="A203" s="17"/>
      <c r="B203" s="18"/>
      <c r="C203" s="18"/>
      <c r="D203" s="18"/>
      <c r="E203" s="19"/>
      <c r="F203" s="20"/>
      <c r="G203" s="20"/>
      <c r="H203" s="21" t="str">
        <f aca="false">IF(AND(F203="",G203=""),"",SUM(F$7:F203)-SUM(G$7:G203))</f>
        <v/>
      </c>
    </row>
    <row r="204" customFormat="false" ht="15" hidden="false" customHeight="false" outlineLevel="0" collapsed="false">
      <c r="A204" s="17"/>
      <c r="B204" s="18"/>
      <c r="C204" s="18"/>
      <c r="D204" s="18"/>
      <c r="E204" s="19"/>
      <c r="F204" s="20"/>
      <c r="G204" s="20"/>
      <c r="H204" s="21" t="str">
        <f aca="false">IF(AND(F204="",G204=""),"",SUM(F$7:F204)-SUM(G$7:G204))</f>
        <v/>
      </c>
    </row>
    <row r="205" customFormat="false" ht="15" hidden="false" customHeight="false" outlineLevel="0" collapsed="false">
      <c r="A205" s="17"/>
      <c r="B205" s="18"/>
      <c r="C205" s="18"/>
      <c r="D205" s="18"/>
      <c r="E205" s="19"/>
      <c r="F205" s="20"/>
      <c r="G205" s="20"/>
      <c r="H205" s="21" t="str">
        <f aca="false">IF(AND(F205="",G205=""),"",SUM(F$7:F205)-SUM(G$7:G205))</f>
        <v/>
      </c>
    </row>
    <row r="206" customFormat="false" ht="15" hidden="false" customHeight="false" outlineLevel="0" collapsed="false">
      <c r="A206" s="17"/>
      <c r="B206" s="18"/>
      <c r="C206" s="18"/>
      <c r="D206" s="18"/>
      <c r="E206" s="19"/>
      <c r="F206" s="20"/>
      <c r="G206" s="20"/>
      <c r="H206" s="21" t="str">
        <f aca="false">IF(AND(F206="",G206=""),"",SUM(F$7:F206)-SUM(G$7:G206))</f>
        <v/>
      </c>
    </row>
    <row r="207" customFormat="false" ht="15" hidden="false" customHeight="false" outlineLevel="0" collapsed="false">
      <c r="A207" s="17"/>
      <c r="B207" s="18"/>
      <c r="C207" s="18"/>
      <c r="D207" s="18"/>
      <c r="E207" s="19"/>
      <c r="F207" s="20"/>
      <c r="G207" s="20"/>
      <c r="H207" s="21" t="str">
        <f aca="false">IF(AND(F207="",G207=""),"",SUM(F$7:F207)-SUM(G$7:G207))</f>
        <v/>
      </c>
    </row>
    <row r="208" customFormat="false" ht="15" hidden="false" customHeight="false" outlineLevel="0" collapsed="false">
      <c r="A208" s="17"/>
      <c r="B208" s="18"/>
      <c r="C208" s="18"/>
      <c r="D208" s="18"/>
      <c r="E208" s="19"/>
      <c r="F208" s="20"/>
      <c r="G208" s="20"/>
      <c r="H208" s="21" t="str">
        <f aca="false">IF(AND(F208="",G208=""),"",SUM(F$7:F208)-SUM(G$7:G208))</f>
        <v/>
      </c>
    </row>
    <row r="209" customFormat="false" ht="15" hidden="false" customHeight="false" outlineLevel="0" collapsed="false">
      <c r="A209" s="17"/>
      <c r="B209" s="18"/>
      <c r="C209" s="18"/>
      <c r="D209" s="18"/>
      <c r="E209" s="19"/>
      <c r="F209" s="20"/>
      <c r="G209" s="20"/>
      <c r="H209" s="21" t="str">
        <f aca="false">IF(AND(F209="",G209=""),"",SUM(F$7:F209)-SUM(G$7:G209))</f>
        <v/>
      </c>
    </row>
    <row r="210" customFormat="false" ht="15" hidden="false" customHeight="false" outlineLevel="0" collapsed="false">
      <c r="A210" s="17"/>
      <c r="B210" s="18"/>
      <c r="C210" s="18"/>
      <c r="D210" s="18"/>
      <c r="E210" s="19"/>
      <c r="F210" s="20"/>
      <c r="G210" s="20"/>
      <c r="H210" s="21" t="str">
        <f aca="false">IF(AND(F210="",G210=""),"",SUM(F$7:F210)-SUM(G$7:G210))</f>
        <v/>
      </c>
    </row>
    <row r="211" customFormat="false" ht="15" hidden="false" customHeight="false" outlineLevel="0" collapsed="false">
      <c r="A211" s="17"/>
      <c r="B211" s="18"/>
      <c r="C211" s="18"/>
      <c r="D211" s="18"/>
      <c r="E211" s="19"/>
      <c r="F211" s="20"/>
      <c r="G211" s="20"/>
      <c r="H211" s="21" t="str">
        <f aca="false">IF(AND(F211="",G211=""),"",SUM(F$7:F211)-SUM(G$7:G211))</f>
        <v/>
      </c>
    </row>
    <row r="212" customFormat="false" ht="15" hidden="false" customHeight="false" outlineLevel="0" collapsed="false">
      <c r="A212" s="17"/>
      <c r="B212" s="18"/>
      <c r="C212" s="18"/>
      <c r="D212" s="18"/>
      <c r="E212" s="19"/>
      <c r="F212" s="20"/>
      <c r="G212" s="20"/>
      <c r="H212" s="21" t="str">
        <f aca="false">IF(AND(F212="",G212=""),"",SUM(F$7:F212)-SUM(G$7:G212))</f>
        <v/>
      </c>
    </row>
    <row r="213" customFormat="false" ht="15" hidden="false" customHeight="false" outlineLevel="0" collapsed="false">
      <c r="A213" s="17"/>
      <c r="B213" s="18"/>
      <c r="C213" s="18"/>
      <c r="D213" s="18"/>
      <c r="E213" s="19"/>
      <c r="F213" s="20"/>
      <c r="G213" s="20"/>
      <c r="H213" s="21" t="str">
        <f aca="false">IF(AND(F213="",G213=""),"",SUM(F$7:F213)-SUM(G$7:G213))</f>
        <v/>
      </c>
    </row>
    <row r="214" customFormat="false" ht="15" hidden="false" customHeight="false" outlineLevel="0" collapsed="false">
      <c r="A214" s="17"/>
      <c r="B214" s="18"/>
      <c r="C214" s="18"/>
      <c r="D214" s="18"/>
      <c r="E214" s="19"/>
      <c r="F214" s="20"/>
      <c r="G214" s="20"/>
      <c r="H214" s="21" t="str">
        <f aca="false">IF(AND(F214="",G214=""),"",SUM(F$7:F214)-SUM(G$7:G214))</f>
        <v/>
      </c>
    </row>
    <row r="215" customFormat="false" ht="15" hidden="false" customHeight="false" outlineLevel="0" collapsed="false">
      <c r="A215" s="17"/>
      <c r="B215" s="18"/>
      <c r="C215" s="18"/>
      <c r="D215" s="18"/>
      <c r="E215" s="19"/>
      <c r="F215" s="20"/>
      <c r="G215" s="20"/>
      <c r="H215" s="21" t="str">
        <f aca="false">IF(AND(F215="",G215=""),"",SUM(F$7:F215)-SUM(G$7:G215))</f>
        <v/>
      </c>
    </row>
    <row r="216" customFormat="false" ht="15" hidden="false" customHeight="false" outlineLevel="0" collapsed="false">
      <c r="A216" s="17"/>
      <c r="B216" s="18"/>
      <c r="C216" s="18"/>
      <c r="D216" s="18"/>
      <c r="E216" s="19"/>
      <c r="F216" s="20"/>
      <c r="G216" s="20"/>
      <c r="H216" s="21" t="str">
        <f aca="false">IF(AND(F216="",G216=""),"",SUM(F$7:F216)-SUM(G$7:G216))</f>
        <v/>
      </c>
    </row>
    <row r="217" customFormat="false" ht="15" hidden="false" customHeight="false" outlineLevel="0" collapsed="false">
      <c r="A217" s="17"/>
      <c r="B217" s="18"/>
      <c r="C217" s="18"/>
      <c r="D217" s="18"/>
      <c r="E217" s="19"/>
      <c r="F217" s="20"/>
      <c r="G217" s="20"/>
      <c r="H217" s="21" t="str">
        <f aca="false">IF(AND(F217="",G217=""),"",SUM(F$7:F217)-SUM(G$7:G217))</f>
        <v/>
      </c>
    </row>
    <row r="218" customFormat="false" ht="15" hidden="false" customHeight="false" outlineLevel="0" collapsed="false">
      <c r="A218" s="17"/>
      <c r="B218" s="18"/>
      <c r="C218" s="18"/>
      <c r="D218" s="18"/>
      <c r="E218" s="19"/>
      <c r="F218" s="20"/>
      <c r="G218" s="20"/>
      <c r="H218" s="21" t="str">
        <f aca="false">IF(AND(F218="",G218=""),"",SUM(F$7:F218)-SUM(G$7:G218))</f>
        <v/>
      </c>
    </row>
    <row r="219" customFormat="false" ht="15" hidden="false" customHeight="false" outlineLevel="0" collapsed="false">
      <c r="A219" s="17"/>
      <c r="B219" s="18"/>
      <c r="C219" s="18"/>
      <c r="D219" s="18"/>
      <c r="E219" s="19"/>
      <c r="F219" s="20"/>
      <c r="G219" s="20"/>
      <c r="H219" s="21" t="str">
        <f aca="false">IF(AND(F219="",G219=""),"",SUM(F$7:F219)-SUM(G$7:G219))</f>
        <v/>
      </c>
    </row>
    <row r="220" customFormat="false" ht="15" hidden="false" customHeight="false" outlineLevel="0" collapsed="false">
      <c r="A220" s="17"/>
      <c r="B220" s="18"/>
      <c r="C220" s="18"/>
      <c r="D220" s="18"/>
      <c r="E220" s="19"/>
      <c r="F220" s="20"/>
      <c r="G220" s="20"/>
      <c r="H220" s="21" t="str">
        <f aca="false">IF(AND(F220="",G220=""),"",SUM(F$7:F220)-SUM(G$7:G220))</f>
        <v/>
      </c>
    </row>
    <row r="221" customFormat="false" ht="15" hidden="false" customHeight="false" outlineLevel="0" collapsed="false">
      <c r="A221" s="17"/>
      <c r="B221" s="18"/>
      <c r="C221" s="18"/>
      <c r="D221" s="18"/>
      <c r="E221" s="19"/>
      <c r="F221" s="20"/>
      <c r="G221" s="20"/>
      <c r="H221" s="21" t="str">
        <f aca="false">IF(AND(F221="",G221=""),"",SUM(F$7:F221)-SUM(G$7:G221))</f>
        <v/>
      </c>
    </row>
    <row r="222" customFormat="false" ht="15" hidden="false" customHeight="false" outlineLevel="0" collapsed="false">
      <c r="A222" s="17"/>
      <c r="B222" s="18"/>
      <c r="C222" s="18"/>
      <c r="D222" s="18"/>
      <c r="E222" s="19"/>
      <c r="F222" s="20"/>
      <c r="G222" s="20"/>
      <c r="H222" s="21" t="str">
        <f aca="false">IF(AND(F222="",G222=""),"",SUM(F$7:F222)-SUM(G$7:G222))</f>
        <v/>
      </c>
    </row>
    <row r="223" customFormat="false" ht="15" hidden="false" customHeight="false" outlineLevel="0" collapsed="false">
      <c r="A223" s="17"/>
      <c r="B223" s="18"/>
      <c r="C223" s="18"/>
      <c r="D223" s="18"/>
      <c r="E223" s="19"/>
      <c r="F223" s="20"/>
      <c r="G223" s="20"/>
      <c r="H223" s="21" t="str">
        <f aca="false">IF(AND(F223="",G223=""),"",SUM(F$7:F223)-SUM(G$7:G223))</f>
        <v/>
      </c>
    </row>
    <row r="224" customFormat="false" ht="15" hidden="false" customHeight="false" outlineLevel="0" collapsed="false">
      <c r="A224" s="17"/>
      <c r="B224" s="18"/>
      <c r="C224" s="18"/>
      <c r="D224" s="18"/>
      <c r="E224" s="19"/>
      <c r="F224" s="20"/>
      <c r="G224" s="20"/>
      <c r="H224" s="21" t="str">
        <f aca="false">IF(AND(F224="",G224=""),"",SUM(F$7:F224)-SUM(G$7:G224))</f>
        <v/>
      </c>
    </row>
    <row r="225" customFormat="false" ht="15" hidden="false" customHeight="false" outlineLevel="0" collapsed="false">
      <c r="A225" s="17"/>
      <c r="B225" s="18"/>
      <c r="C225" s="18"/>
      <c r="D225" s="18"/>
      <c r="E225" s="19"/>
      <c r="F225" s="20"/>
      <c r="G225" s="20"/>
      <c r="H225" s="21" t="str">
        <f aca="false">IF(AND(F225="",G225=""),"",SUM(F$7:F225)-SUM(G$7:G225))</f>
        <v/>
      </c>
    </row>
    <row r="226" customFormat="false" ht="15" hidden="false" customHeight="false" outlineLevel="0" collapsed="false">
      <c r="A226" s="17"/>
      <c r="B226" s="18"/>
      <c r="C226" s="18"/>
      <c r="D226" s="18"/>
      <c r="E226" s="19"/>
      <c r="F226" s="20"/>
      <c r="G226" s="20"/>
      <c r="H226" s="21" t="str">
        <f aca="false">IF(AND(F226="",G226=""),"",SUM(F$7:F226)-SUM(G$7:G226))</f>
        <v/>
      </c>
    </row>
    <row r="227" customFormat="false" ht="15" hidden="false" customHeight="false" outlineLevel="0" collapsed="false">
      <c r="A227" s="17"/>
      <c r="B227" s="18"/>
      <c r="C227" s="18"/>
      <c r="D227" s="18"/>
      <c r="E227" s="19"/>
      <c r="F227" s="20"/>
      <c r="G227" s="20"/>
      <c r="H227" s="21" t="str">
        <f aca="false">IF(AND(F227="",G227=""),"",SUM(F$7:F227)-SUM(G$7:G227))</f>
        <v/>
      </c>
    </row>
    <row r="228" customFormat="false" ht="15" hidden="false" customHeight="false" outlineLevel="0" collapsed="false">
      <c r="A228" s="17"/>
      <c r="B228" s="18"/>
      <c r="C228" s="18"/>
      <c r="D228" s="18"/>
      <c r="E228" s="19"/>
      <c r="F228" s="20"/>
      <c r="G228" s="20"/>
      <c r="H228" s="21" t="str">
        <f aca="false">IF(AND(F228="",G228=""),"",SUM(F$7:F228)-SUM(G$7:G228))</f>
        <v/>
      </c>
    </row>
    <row r="229" customFormat="false" ht="15" hidden="false" customHeight="false" outlineLevel="0" collapsed="false">
      <c r="A229" s="17"/>
      <c r="B229" s="18"/>
      <c r="C229" s="18"/>
      <c r="D229" s="18"/>
      <c r="E229" s="19"/>
      <c r="F229" s="20"/>
      <c r="G229" s="20"/>
      <c r="H229" s="21" t="str">
        <f aca="false">IF(AND(F229="",G229=""),"",SUM(F$7:F229)-SUM(G$7:G229))</f>
        <v/>
      </c>
    </row>
    <row r="230" customFormat="false" ht="15" hidden="false" customHeight="false" outlineLevel="0" collapsed="false">
      <c r="A230" s="17"/>
      <c r="B230" s="18"/>
      <c r="C230" s="18"/>
      <c r="D230" s="18"/>
      <c r="E230" s="19"/>
      <c r="F230" s="20"/>
      <c r="G230" s="20"/>
      <c r="H230" s="21" t="str">
        <f aca="false">IF(AND(F230="",G230=""),"",SUM(F$7:F230)-SUM(G$7:G230))</f>
        <v/>
      </c>
    </row>
    <row r="231" customFormat="false" ht="15" hidden="false" customHeight="false" outlineLevel="0" collapsed="false">
      <c r="A231" s="17"/>
      <c r="B231" s="18"/>
      <c r="C231" s="18"/>
      <c r="D231" s="18"/>
      <c r="E231" s="19"/>
      <c r="F231" s="20"/>
      <c r="G231" s="20"/>
      <c r="H231" s="21" t="str">
        <f aca="false">IF(AND(F231="",G231=""),"",SUM(F$7:F231)-SUM(G$7:G231))</f>
        <v/>
      </c>
    </row>
    <row r="232" customFormat="false" ht="15" hidden="false" customHeight="false" outlineLevel="0" collapsed="false">
      <c r="A232" s="17"/>
      <c r="B232" s="18"/>
      <c r="C232" s="18"/>
      <c r="D232" s="18"/>
      <c r="E232" s="19"/>
      <c r="F232" s="20"/>
      <c r="G232" s="20"/>
      <c r="H232" s="21" t="str">
        <f aca="false">IF(AND(F232="",G232=""),"",SUM(F$7:F232)-SUM(G$7:G232))</f>
        <v/>
      </c>
    </row>
    <row r="233" customFormat="false" ht="15" hidden="false" customHeight="false" outlineLevel="0" collapsed="false">
      <c r="A233" s="17"/>
      <c r="B233" s="18"/>
      <c r="C233" s="18"/>
      <c r="D233" s="18"/>
      <c r="E233" s="19"/>
      <c r="F233" s="20"/>
      <c r="G233" s="20"/>
      <c r="H233" s="21" t="str">
        <f aca="false">IF(AND(F233="",G233=""),"",SUM(F$7:F233)-SUM(G$7:G233))</f>
        <v/>
      </c>
    </row>
    <row r="234" customFormat="false" ht="15" hidden="false" customHeight="false" outlineLevel="0" collapsed="false">
      <c r="A234" s="17"/>
      <c r="B234" s="18"/>
      <c r="C234" s="18"/>
      <c r="D234" s="18"/>
      <c r="E234" s="19"/>
      <c r="F234" s="20"/>
      <c r="G234" s="20"/>
      <c r="H234" s="21" t="str">
        <f aca="false">IF(AND(F234="",G234=""),"",SUM(F$7:F234)-SUM(G$7:G234))</f>
        <v/>
      </c>
    </row>
    <row r="235" customFormat="false" ht="15" hidden="false" customHeight="false" outlineLevel="0" collapsed="false">
      <c r="A235" s="17"/>
      <c r="B235" s="18"/>
      <c r="C235" s="18"/>
      <c r="D235" s="18"/>
      <c r="E235" s="19"/>
      <c r="F235" s="20"/>
      <c r="G235" s="20"/>
      <c r="H235" s="21" t="str">
        <f aca="false">IF(AND(F235="",G235=""),"",SUM(F$7:F235)-SUM(G$7:G235))</f>
        <v/>
      </c>
    </row>
    <row r="236" customFormat="false" ht="15" hidden="false" customHeight="false" outlineLevel="0" collapsed="false">
      <c r="A236" s="17"/>
      <c r="B236" s="18"/>
      <c r="C236" s="18"/>
      <c r="D236" s="18"/>
      <c r="E236" s="19"/>
      <c r="F236" s="20"/>
      <c r="G236" s="20"/>
      <c r="H236" s="21" t="str">
        <f aca="false">IF(AND(F236="",G236=""),"",SUM(F$7:F236)-SUM(G$7:G236))</f>
        <v/>
      </c>
    </row>
    <row r="237" customFormat="false" ht="15" hidden="false" customHeight="false" outlineLevel="0" collapsed="false">
      <c r="A237" s="17"/>
      <c r="B237" s="18"/>
      <c r="C237" s="18"/>
      <c r="D237" s="18"/>
      <c r="E237" s="19"/>
      <c r="F237" s="20"/>
      <c r="G237" s="20"/>
      <c r="H237" s="21" t="str">
        <f aca="false">IF(AND(F237="",G237=""),"",SUM(F$7:F237)-SUM(G$7:G237))</f>
        <v/>
      </c>
    </row>
    <row r="238" customFormat="false" ht="15" hidden="false" customHeight="false" outlineLevel="0" collapsed="false">
      <c r="A238" s="17"/>
      <c r="B238" s="18"/>
      <c r="C238" s="18"/>
      <c r="D238" s="18"/>
      <c r="E238" s="19"/>
      <c r="F238" s="20"/>
      <c r="G238" s="20"/>
      <c r="H238" s="21" t="str">
        <f aca="false">IF(AND(F238="",G238=""),"",SUM(F$7:F238)-SUM(G$7:G238))</f>
        <v/>
      </c>
    </row>
    <row r="239" customFormat="false" ht="15" hidden="false" customHeight="false" outlineLevel="0" collapsed="false">
      <c r="A239" s="17"/>
      <c r="B239" s="18"/>
      <c r="C239" s="18"/>
      <c r="D239" s="18"/>
      <c r="E239" s="19"/>
      <c r="F239" s="20"/>
      <c r="G239" s="20"/>
      <c r="H239" s="21" t="str">
        <f aca="false">IF(AND(F239="",G239=""),"",SUM(F$7:F239)-SUM(G$7:G239))</f>
        <v/>
      </c>
    </row>
    <row r="240" customFormat="false" ht="15" hidden="false" customHeight="false" outlineLevel="0" collapsed="false">
      <c r="A240" s="17"/>
      <c r="B240" s="18"/>
      <c r="C240" s="18"/>
      <c r="D240" s="18"/>
      <c r="E240" s="19"/>
      <c r="F240" s="20"/>
      <c r="G240" s="20"/>
      <c r="H240" s="21" t="str">
        <f aca="false">IF(AND(F240="",G240=""),"",SUM(F$7:F240)-SUM(G$7:G240))</f>
        <v/>
      </c>
    </row>
    <row r="241" customFormat="false" ht="15" hidden="false" customHeight="false" outlineLevel="0" collapsed="false">
      <c r="A241" s="17"/>
      <c r="B241" s="18"/>
      <c r="C241" s="18"/>
      <c r="D241" s="18"/>
      <c r="E241" s="19"/>
      <c r="F241" s="20"/>
      <c r="G241" s="20"/>
      <c r="H241" s="21" t="str">
        <f aca="false">IF(AND(F241="",G241=""),"",SUM(F$7:F241)-SUM(G$7:G241))</f>
        <v/>
      </c>
    </row>
    <row r="242" customFormat="false" ht="15" hidden="false" customHeight="false" outlineLevel="0" collapsed="false">
      <c r="A242" s="17"/>
      <c r="B242" s="18"/>
      <c r="C242" s="18"/>
      <c r="D242" s="18"/>
      <c r="E242" s="19"/>
      <c r="F242" s="20"/>
      <c r="G242" s="20"/>
      <c r="H242" s="21" t="str">
        <f aca="false">IF(AND(F242="",G242=""),"",SUM(F$7:F242)-SUM(G$7:G242))</f>
        <v/>
      </c>
    </row>
    <row r="243" customFormat="false" ht="15" hidden="false" customHeight="false" outlineLevel="0" collapsed="false">
      <c r="A243" s="17"/>
      <c r="B243" s="18"/>
      <c r="C243" s="18"/>
      <c r="D243" s="18"/>
      <c r="E243" s="19"/>
      <c r="F243" s="20"/>
      <c r="G243" s="20"/>
      <c r="H243" s="21" t="str">
        <f aca="false">IF(AND(F243="",G243=""),"",SUM(F$7:F243)-SUM(G$7:G243))</f>
        <v/>
      </c>
    </row>
    <row r="244" customFormat="false" ht="15" hidden="false" customHeight="false" outlineLevel="0" collapsed="false">
      <c r="A244" s="17"/>
      <c r="B244" s="18"/>
      <c r="C244" s="18"/>
      <c r="D244" s="18"/>
      <c r="E244" s="19"/>
      <c r="F244" s="20"/>
      <c r="G244" s="20"/>
      <c r="H244" s="21" t="str">
        <f aca="false">IF(AND(F244="",G244=""),"",SUM(F$7:F244)-SUM(G$7:G244))</f>
        <v/>
      </c>
    </row>
    <row r="245" customFormat="false" ht="15" hidden="false" customHeight="false" outlineLevel="0" collapsed="false">
      <c r="A245" s="17"/>
      <c r="B245" s="18"/>
      <c r="C245" s="18"/>
      <c r="D245" s="18"/>
      <c r="E245" s="19"/>
      <c r="F245" s="20"/>
      <c r="G245" s="20"/>
      <c r="H245" s="21" t="str">
        <f aca="false">IF(AND(F245="",G245=""),"",SUM(F$7:F245)-SUM(G$7:G245))</f>
        <v/>
      </c>
    </row>
    <row r="246" customFormat="false" ht="15" hidden="false" customHeight="false" outlineLevel="0" collapsed="false">
      <c r="A246" s="17"/>
      <c r="B246" s="18"/>
      <c r="C246" s="18"/>
      <c r="D246" s="18"/>
      <c r="E246" s="19"/>
      <c r="F246" s="20"/>
      <c r="G246" s="20"/>
      <c r="H246" s="21" t="str">
        <f aca="false">IF(AND(F246="",G246=""),"",SUM(F$7:F246)-SUM(G$7:G246))</f>
        <v/>
      </c>
    </row>
    <row r="247" customFormat="false" ht="15" hidden="false" customHeight="false" outlineLevel="0" collapsed="false">
      <c r="A247" s="17"/>
      <c r="B247" s="18"/>
      <c r="C247" s="18"/>
      <c r="D247" s="18"/>
      <c r="E247" s="19"/>
      <c r="F247" s="20"/>
      <c r="G247" s="20"/>
      <c r="H247" s="21" t="str">
        <f aca="false">IF(AND(F247="",G247=""),"",SUM(F$7:F247)-SUM(G$7:G247))</f>
        <v/>
      </c>
    </row>
    <row r="248" customFormat="false" ht="15" hidden="false" customHeight="false" outlineLevel="0" collapsed="false">
      <c r="A248" s="17"/>
      <c r="B248" s="18"/>
      <c r="C248" s="18"/>
      <c r="D248" s="18"/>
      <c r="E248" s="19"/>
      <c r="F248" s="20"/>
      <c r="G248" s="20"/>
      <c r="H248" s="21" t="str">
        <f aca="false">IF(AND(F248="",G248=""),"",SUM(F$7:F248)-SUM(G$7:G248))</f>
        <v/>
      </c>
    </row>
    <row r="249" customFormat="false" ht="15" hidden="false" customHeight="false" outlineLevel="0" collapsed="false">
      <c r="A249" s="17"/>
      <c r="B249" s="18"/>
      <c r="C249" s="18"/>
      <c r="D249" s="18"/>
      <c r="E249" s="19"/>
      <c r="F249" s="20"/>
      <c r="G249" s="20"/>
      <c r="H249" s="21" t="str">
        <f aca="false">IF(AND(F249="",G249=""),"",SUM(F$7:F249)-SUM(G$7:G249))</f>
        <v/>
      </c>
    </row>
    <row r="250" customFormat="false" ht="15" hidden="false" customHeight="false" outlineLevel="0" collapsed="false">
      <c r="A250" s="17"/>
      <c r="B250" s="18"/>
      <c r="C250" s="18"/>
      <c r="D250" s="18"/>
      <c r="E250" s="19"/>
      <c r="F250" s="20"/>
      <c r="G250" s="20"/>
      <c r="H250" s="21" t="str">
        <f aca="false">IF(AND(F250="",G250=""),"",SUM(F$7:F250)-SUM(G$7:G250))</f>
        <v/>
      </c>
    </row>
    <row r="251" customFormat="false" ht="15" hidden="false" customHeight="false" outlineLevel="0" collapsed="false">
      <c r="A251" s="17"/>
      <c r="B251" s="18"/>
      <c r="C251" s="18"/>
      <c r="D251" s="18"/>
      <c r="E251" s="19"/>
      <c r="F251" s="20"/>
      <c r="G251" s="20"/>
      <c r="H251" s="21" t="str">
        <f aca="false">IF(AND(F251="",G251=""),"",SUM(F$7:F251)-SUM(G$7:G251))</f>
        <v/>
      </c>
    </row>
    <row r="252" customFormat="false" ht="15" hidden="false" customHeight="false" outlineLevel="0" collapsed="false">
      <c r="A252" s="17"/>
      <c r="B252" s="18"/>
      <c r="C252" s="18"/>
      <c r="D252" s="18"/>
      <c r="E252" s="19"/>
      <c r="F252" s="20"/>
      <c r="G252" s="20"/>
      <c r="H252" s="21" t="str">
        <f aca="false">IF(AND(F252="",G252=""),"",SUM(F$7:F252)-SUM(G$7:G252))</f>
        <v/>
      </c>
    </row>
    <row r="253" customFormat="false" ht="15" hidden="false" customHeight="false" outlineLevel="0" collapsed="false">
      <c r="A253" s="17"/>
      <c r="B253" s="18"/>
      <c r="C253" s="18"/>
      <c r="D253" s="18"/>
      <c r="E253" s="19"/>
      <c r="F253" s="20"/>
      <c r="G253" s="20"/>
      <c r="H253" s="21" t="str">
        <f aca="false">IF(AND(F253="",G253=""),"",SUM(F$7:F253)-SUM(G$7:G253))</f>
        <v/>
      </c>
    </row>
    <row r="254" customFormat="false" ht="15" hidden="false" customHeight="false" outlineLevel="0" collapsed="false">
      <c r="A254" s="17"/>
      <c r="B254" s="18"/>
      <c r="C254" s="18"/>
      <c r="D254" s="18"/>
      <c r="E254" s="19"/>
      <c r="F254" s="20"/>
      <c r="G254" s="20"/>
      <c r="H254" s="21" t="str">
        <f aca="false">IF(AND(F254="",G254=""),"",SUM(F$7:F254)-SUM(G$7:G254))</f>
        <v/>
      </c>
    </row>
    <row r="255" customFormat="false" ht="15" hidden="false" customHeight="false" outlineLevel="0" collapsed="false">
      <c r="A255" s="17"/>
      <c r="B255" s="18"/>
      <c r="C255" s="18"/>
      <c r="D255" s="18"/>
      <c r="E255" s="19"/>
      <c r="F255" s="20"/>
      <c r="G255" s="20"/>
      <c r="H255" s="21" t="str">
        <f aca="false">IF(AND(F255="",G255=""),"",SUM(F$7:F255)-SUM(G$7:G255))</f>
        <v/>
      </c>
    </row>
    <row r="256" customFormat="false" ht="15" hidden="false" customHeight="false" outlineLevel="0" collapsed="false">
      <c r="A256" s="17"/>
      <c r="B256" s="18"/>
      <c r="C256" s="18"/>
      <c r="D256" s="18"/>
      <c r="E256" s="19"/>
      <c r="F256" s="20"/>
      <c r="G256" s="20"/>
      <c r="H256" s="21" t="str">
        <f aca="false">IF(AND(F256="",G256=""),"",SUM(F$7:F256)-SUM(G$7:G256))</f>
        <v/>
      </c>
    </row>
    <row r="257" customFormat="false" ht="15" hidden="false" customHeight="false" outlineLevel="0" collapsed="false">
      <c r="A257" s="17"/>
      <c r="B257" s="18"/>
      <c r="C257" s="18"/>
      <c r="D257" s="18"/>
      <c r="E257" s="19"/>
      <c r="F257" s="20"/>
      <c r="G257" s="20"/>
      <c r="H257" s="21" t="str">
        <f aca="false">IF(AND(F257="",G257=""),"",SUM(F$7:F257)-SUM(G$7:G257))</f>
        <v/>
      </c>
    </row>
    <row r="258" customFormat="false" ht="15" hidden="false" customHeight="false" outlineLevel="0" collapsed="false">
      <c r="A258" s="17"/>
      <c r="B258" s="18"/>
      <c r="C258" s="18"/>
      <c r="D258" s="18"/>
      <c r="E258" s="19"/>
      <c r="F258" s="20"/>
      <c r="G258" s="20"/>
      <c r="H258" s="21" t="str">
        <f aca="false">IF(AND(F258="",G258=""),"",SUM(F$7:F258)-SUM(G$7:G258))</f>
        <v/>
      </c>
    </row>
    <row r="259" customFormat="false" ht="15" hidden="false" customHeight="false" outlineLevel="0" collapsed="false">
      <c r="A259" s="17"/>
      <c r="B259" s="18"/>
      <c r="C259" s="18"/>
      <c r="D259" s="18"/>
      <c r="E259" s="19"/>
      <c r="F259" s="20"/>
      <c r="G259" s="20"/>
      <c r="H259" s="21" t="str">
        <f aca="false">IF(AND(F259="",G259=""),"",SUM(F$7:F259)-SUM(G$7:G259))</f>
        <v/>
      </c>
    </row>
    <row r="260" customFormat="false" ht="15" hidden="false" customHeight="false" outlineLevel="0" collapsed="false">
      <c r="A260" s="17"/>
      <c r="B260" s="18"/>
      <c r="C260" s="18"/>
      <c r="D260" s="18"/>
      <c r="E260" s="19"/>
      <c r="F260" s="20"/>
      <c r="G260" s="20"/>
      <c r="H260" s="21" t="str">
        <f aca="false">IF(AND(F260="",G260=""),"",SUM(F$7:F260)-SUM(G$7:G260))</f>
        <v/>
      </c>
    </row>
    <row r="261" customFormat="false" ht="15" hidden="false" customHeight="false" outlineLevel="0" collapsed="false">
      <c r="A261" s="17"/>
      <c r="B261" s="18"/>
      <c r="C261" s="18"/>
      <c r="D261" s="18"/>
      <c r="E261" s="19"/>
      <c r="F261" s="20"/>
      <c r="G261" s="20"/>
      <c r="H261" s="21" t="str">
        <f aca="false">IF(AND(F261="",G261=""),"",SUM(F$7:F261)-SUM(G$7:G261))</f>
        <v/>
      </c>
    </row>
    <row r="262" customFormat="false" ht="15" hidden="false" customHeight="false" outlineLevel="0" collapsed="false">
      <c r="A262" s="17"/>
      <c r="B262" s="18"/>
      <c r="C262" s="18"/>
      <c r="D262" s="18"/>
      <c r="E262" s="19"/>
      <c r="F262" s="20"/>
      <c r="G262" s="20"/>
      <c r="H262" s="21" t="str">
        <f aca="false">IF(AND(F262="",G262=""),"",SUM(F$7:F262)-SUM(G$7:G262))</f>
        <v/>
      </c>
    </row>
    <row r="263" customFormat="false" ht="15" hidden="false" customHeight="false" outlineLevel="0" collapsed="false">
      <c r="A263" s="17"/>
      <c r="B263" s="18"/>
      <c r="C263" s="18"/>
      <c r="D263" s="18"/>
      <c r="E263" s="19"/>
      <c r="F263" s="20"/>
      <c r="G263" s="20"/>
      <c r="H263" s="21" t="str">
        <f aca="false">IF(AND(F263="",G263=""),"",SUM(F$7:F263)-SUM(G$7:G263))</f>
        <v/>
      </c>
    </row>
    <row r="264" customFormat="false" ht="15" hidden="false" customHeight="false" outlineLevel="0" collapsed="false">
      <c r="A264" s="17"/>
      <c r="B264" s="18"/>
      <c r="C264" s="18"/>
      <c r="D264" s="18"/>
      <c r="E264" s="19"/>
      <c r="F264" s="20"/>
      <c r="G264" s="20"/>
      <c r="H264" s="21" t="str">
        <f aca="false">IF(AND(F264="",G264=""),"",SUM(F$7:F264)-SUM(G$7:G264))</f>
        <v/>
      </c>
    </row>
    <row r="265" customFormat="false" ht="15" hidden="false" customHeight="false" outlineLevel="0" collapsed="false">
      <c r="A265" s="17"/>
      <c r="B265" s="18"/>
      <c r="C265" s="18"/>
      <c r="D265" s="18"/>
      <c r="E265" s="19"/>
      <c r="F265" s="20"/>
      <c r="G265" s="20"/>
      <c r="H265" s="21" t="str">
        <f aca="false">IF(AND(F265="",G265=""),"",SUM(F$7:F265)-SUM(G$7:G265))</f>
        <v/>
      </c>
    </row>
    <row r="266" customFormat="false" ht="15" hidden="false" customHeight="false" outlineLevel="0" collapsed="false">
      <c r="A266" s="17"/>
      <c r="B266" s="18"/>
      <c r="C266" s="18"/>
      <c r="D266" s="18"/>
      <c r="E266" s="19"/>
      <c r="F266" s="20"/>
      <c r="G266" s="20"/>
      <c r="H266" s="21" t="str">
        <f aca="false">IF(AND(F266="",G266=""),"",SUM(F$7:F266)-SUM(G$7:G266))</f>
        <v/>
      </c>
    </row>
    <row r="267" customFormat="false" ht="15" hidden="false" customHeight="false" outlineLevel="0" collapsed="false">
      <c r="A267" s="17"/>
      <c r="B267" s="18"/>
      <c r="C267" s="18"/>
      <c r="D267" s="18"/>
      <c r="E267" s="19"/>
      <c r="F267" s="20"/>
      <c r="G267" s="20"/>
      <c r="H267" s="21" t="str">
        <f aca="false">IF(AND(F267="",G267=""),"",SUM(F$7:F267)-SUM(G$7:G267))</f>
        <v/>
      </c>
    </row>
    <row r="268" customFormat="false" ht="15" hidden="false" customHeight="false" outlineLevel="0" collapsed="false">
      <c r="A268" s="17"/>
      <c r="B268" s="18"/>
      <c r="C268" s="18"/>
      <c r="D268" s="18"/>
      <c r="E268" s="19"/>
      <c r="F268" s="20"/>
      <c r="G268" s="20"/>
      <c r="H268" s="21" t="str">
        <f aca="false">IF(AND(F268="",G268=""),"",SUM(F$7:F268)-SUM(G$7:G268))</f>
        <v/>
      </c>
    </row>
    <row r="269" customFormat="false" ht="15" hidden="false" customHeight="false" outlineLevel="0" collapsed="false">
      <c r="A269" s="17"/>
      <c r="B269" s="18"/>
      <c r="C269" s="18"/>
      <c r="D269" s="18"/>
      <c r="E269" s="19"/>
      <c r="F269" s="20"/>
      <c r="G269" s="20"/>
      <c r="H269" s="21" t="str">
        <f aca="false">IF(AND(F269="",G269=""),"",SUM(F$7:F269)-SUM(G$7:G269))</f>
        <v/>
      </c>
    </row>
    <row r="270" customFormat="false" ht="15" hidden="false" customHeight="false" outlineLevel="0" collapsed="false">
      <c r="A270" s="17"/>
      <c r="B270" s="18"/>
      <c r="C270" s="18"/>
      <c r="D270" s="18"/>
      <c r="E270" s="19"/>
      <c r="F270" s="20"/>
      <c r="G270" s="20"/>
      <c r="H270" s="21" t="str">
        <f aca="false">IF(AND(F270="",G270=""),"",SUM(F$7:F270)-SUM(G$7:G270))</f>
        <v/>
      </c>
    </row>
    <row r="271" customFormat="false" ht="15" hidden="false" customHeight="false" outlineLevel="0" collapsed="false">
      <c r="A271" s="17"/>
      <c r="B271" s="18"/>
      <c r="C271" s="18"/>
      <c r="D271" s="18"/>
      <c r="E271" s="19"/>
      <c r="F271" s="20"/>
      <c r="G271" s="20"/>
      <c r="H271" s="21" t="str">
        <f aca="false">IF(AND(F271="",G271=""),"",SUM(F$7:F271)-SUM(G$7:G271))</f>
        <v/>
      </c>
    </row>
    <row r="272" customFormat="false" ht="15" hidden="false" customHeight="false" outlineLevel="0" collapsed="false">
      <c r="A272" s="17"/>
      <c r="B272" s="18"/>
      <c r="C272" s="18"/>
      <c r="D272" s="18"/>
      <c r="E272" s="19"/>
      <c r="F272" s="20"/>
      <c r="G272" s="20"/>
      <c r="H272" s="21" t="str">
        <f aca="false">IF(AND(F272="",G272=""),"",SUM(F$7:F272)-SUM(G$7:G272))</f>
        <v/>
      </c>
    </row>
    <row r="273" customFormat="false" ht="15" hidden="false" customHeight="false" outlineLevel="0" collapsed="false">
      <c r="A273" s="17"/>
      <c r="B273" s="18"/>
      <c r="C273" s="18"/>
      <c r="D273" s="18"/>
      <c r="E273" s="19"/>
      <c r="F273" s="20"/>
      <c r="G273" s="20"/>
      <c r="H273" s="21" t="str">
        <f aca="false">IF(AND(F273="",G273=""),"",SUM(F$7:F273)-SUM(G$7:G273))</f>
        <v/>
      </c>
    </row>
    <row r="274" customFormat="false" ht="15" hidden="false" customHeight="false" outlineLevel="0" collapsed="false">
      <c r="A274" s="17"/>
      <c r="B274" s="18"/>
      <c r="C274" s="18"/>
      <c r="D274" s="18"/>
      <c r="E274" s="19"/>
      <c r="F274" s="20"/>
      <c r="G274" s="20"/>
      <c r="H274" s="21" t="str">
        <f aca="false">IF(AND(F274="",G274=""),"",SUM(F$7:F274)-SUM(G$7:G274))</f>
        <v/>
      </c>
    </row>
    <row r="275" customFormat="false" ht="15" hidden="false" customHeight="false" outlineLevel="0" collapsed="false">
      <c r="A275" s="17"/>
      <c r="B275" s="18"/>
      <c r="C275" s="18"/>
      <c r="D275" s="18"/>
      <c r="E275" s="19"/>
      <c r="F275" s="20"/>
      <c r="G275" s="20"/>
      <c r="H275" s="21" t="str">
        <f aca="false">IF(AND(F275="",G275=""),"",SUM(F$7:F275)-SUM(G$7:G275))</f>
        <v/>
      </c>
    </row>
    <row r="276" customFormat="false" ht="15" hidden="false" customHeight="false" outlineLevel="0" collapsed="false">
      <c r="A276" s="17"/>
      <c r="B276" s="18"/>
      <c r="C276" s="18"/>
      <c r="D276" s="18"/>
      <c r="E276" s="19"/>
      <c r="F276" s="20"/>
      <c r="G276" s="20"/>
      <c r="H276" s="21" t="str">
        <f aca="false">IF(AND(F276="",G276=""),"",SUM(F$7:F276)-SUM(G$7:G276))</f>
        <v/>
      </c>
    </row>
    <row r="277" customFormat="false" ht="15" hidden="false" customHeight="false" outlineLevel="0" collapsed="false">
      <c r="A277" s="17"/>
      <c r="B277" s="18"/>
      <c r="C277" s="18"/>
      <c r="D277" s="18"/>
      <c r="E277" s="19"/>
      <c r="F277" s="20"/>
      <c r="G277" s="20"/>
      <c r="H277" s="21" t="str">
        <f aca="false">IF(AND(F277="",G277=""),"",SUM(F$7:F277)-SUM(G$7:G277))</f>
        <v/>
      </c>
    </row>
    <row r="278" customFormat="false" ht="15" hidden="false" customHeight="false" outlineLevel="0" collapsed="false">
      <c r="A278" s="17"/>
      <c r="B278" s="18"/>
      <c r="C278" s="18"/>
      <c r="D278" s="18"/>
      <c r="E278" s="19"/>
      <c r="F278" s="20"/>
      <c r="G278" s="20"/>
      <c r="H278" s="21" t="str">
        <f aca="false">IF(AND(F278="",G278=""),"",SUM(F$7:F278)-SUM(G$7:G278))</f>
        <v/>
      </c>
    </row>
    <row r="279" customFormat="false" ht="15" hidden="false" customHeight="false" outlineLevel="0" collapsed="false">
      <c r="A279" s="17"/>
      <c r="B279" s="18"/>
      <c r="C279" s="18"/>
      <c r="D279" s="18"/>
      <c r="E279" s="19"/>
      <c r="F279" s="20"/>
      <c r="G279" s="20"/>
      <c r="H279" s="21" t="str">
        <f aca="false">IF(AND(F279="",G279=""),"",SUM(F$7:F279)-SUM(G$7:G279))</f>
        <v/>
      </c>
    </row>
    <row r="280" customFormat="false" ht="15" hidden="false" customHeight="false" outlineLevel="0" collapsed="false">
      <c r="A280" s="17"/>
      <c r="B280" s="18"/>
      <c r="C280" s="18"/>
      <c r="D280" s="18"/>
      <c r="E280" s="19"/>
      <c r="F280" s="20"/>
      <c r="G280" s="20"/>
      <c r="H280" s="21" t="str">
        <f aca="false">IF(AND(F280="",G280=""),"",SUM(F$7:F280)-SUM(G$7:G280))</f>
        <v/>
      </c>
    </row>
    <row r="281" customFormat="false" ht="15" hidden="false" customHeight="false" outlineLevel="0" collapsed="false">
      <c r="A281" s="17"/>
      <c r="B281" s="18"/>
      <c r="C281" s="18"/>
      <c r="D281" s="18"/>
      <c r="E281" s="19"/>
      <c r="F281" s="20"/>
      <c r="G281" s="20"/>
      <c r="H281" s="21" t="str">
        <f aca="false">IF(AND(F281="",G281=""),"",SUM(F$7:F281)-SUM(G$7:G281))</f>
        <v/>
      </c>
    </row>
    <row r="282" customFormat="false" ht="15" hidden="false" customHeight="false" outlineLevel="0" collapsed="false">
      <c r="A282" s="17"/>
      <c r="B282" s="18"/>
      <c r="C282" s="18"/>
      <c r="D282" s="18"/>
      <c r="E282" s="19"/>
      <c r="F282" s="20"/>
      <c r="G282" s="20"/>
      <c r="H282" s="21" t="str">
        <f aca="false">IF(AND(F282="",G282=""),"",SUM(F$7:F282)-SUM(G$7:G282))</f>
        <v/>
      </c>
    </row>
    <row r="283" customFormat="false" ht="15" hidden="false" customHeight="false" outlineLevel="0" collapsed="false">
      <c r="A283" s="17"/>
      <c r="B283" s="18"/>
      <c r="C283" s="18"/>
      <c r="D283" s="18"/>
      <c r="E283" s="19"/>
      <c r="F283" s="20"/>
      <c r="G283" s="20"/>
      <c r="H283" s="21" t="str">
        <f aca="false">IF(AND(F283="",G283=""),"",SUM(F$7:F283)-SUM(G$7:G283))</f>
        <v/>
      </c>
    </row>
    <row r="284" customFormat="false" ht="15" hidden="false" customHeight="false" outlineLevel="0" collapsed="false">
      <c r="A284" s="17"/>
      <c r="B284" s="18"/>
      <c r="C284" s="18"/>
      <c r="D284" s="18"/>
      <c r="E284" s="19"/>
      <c r="F284" s="20"/>
      <c r="G284" s="20"/>
      <c r="H284" s="21" t="str">
        <f aca="false">IF(AND(F284="",G284=""),"",SUM(F$7:F284)-SUM(G$7:G284))</f>
        <v/>
      </c>
    </row>
    <row r="285" customFormat="false" ht="15" hidden="false" customHeight="false" outlineLevel="0" collapsed="false">
      <c r="A285" s="17"/>
      <c r="B285" s="18"/>
      <c r="C285" s="18"/>
      <c r="D285" s="18"/>
      <c r="E285" s="19"/>
      <c r="F285" s="20"/>
      <c r="G285" s="20"/>
      <c r="H285" s="21" t="str">
        <f aca="false">IF(AND(F285="",G285=""),"",SUM(F$7:F285)-SUM(G$7:G285))</f>
        <v/>
      </c>
    </row>
    <row r="286" customFormat="false" ht="15" hidden="false" customHeight="false" outlineLevel="0" collapsed="false">
      <c r="A286" s="17"/>
      <c r="B286" s="18"/>
      <c r="C286" s="18"/>
      <c r="D286" s="18"/>
      <c r="E286" s="19"/>
      <c r="F286" s="20"/>
      <c r="G286" s="20"/>
      <c r="H286" s="21" t="str">
        <f aca="false">IF(AND(F286="",G286=""),"",SUM(F$7:F286)-SUM(G$7:G286))</f>
        <v/>
      </c>
    </row>
    <row r="287" customFormat="false" ht="15" hidden="false" customHeight="false" outlineLevel="0" collapsed="false">
      <c r="A287" s="17"/>
      <c r="B287" s="18"/>
      <c r="C287" s="18"/>
      <c r="D287" s="18"/>
      <c r="E287" s="19"/>
      <c r="F287" s="20"/>
      <c r="G287" s="20"/>
      <c r="H287" s="21" t="str">
        <f aca="false">IF(AND(F287="",G287=""),"",SUM(F$7:F287)-SUM(G$7:G287))</f>
        <v/>
      </c>
    </row>
    <row r="288" customFormat="false" ht="15" hidden="false" customHeight="false" outlineLevel="0" collapsed="false">
      <c r="A288" s="17"/>
      <c r="B288" s="18"/>
      <c r="C288" s="18"/>
      <c r="D288" s="18"/>
      <c r="E288" s="19"/>
      <c r="F288" s="20"/>
      <c r="G288" s="20"/>
      <c r="H288" s="21" t="str">
        <f aca="false">IF(AND(F288="",G288=""),"",SUM(F$7:F288)-SUM(G$7:G288))</f>
        <v/>
      </c>
    </row>
    <row r="289" customFormat="false" ht="15" hidden="false" customHeight="false" outlineLevel="0" collapsed="false">
      <c r="A289" s="17"/>
      <c r="B289" s="18"/>
      <c r="C289" s="18"/>
      <c r="D289" s="18"/>
      <c r="E289" s="19"/>
      <c r="F289" s="20"/>
      <c r="G289" s="20"/>
      <c r="H289" s="21" t="str">
        <f aca="false">IF(AND(F289="",G289=""),"",SUM(F$7:F289)-SUM(G$7:G289))</f>
        <v/>
      </c>
    </row>
    <row r="290" customFormat="false" ht="15" hidden="false" customHeight="false" outlineLevel="0" collapsed="false">
      <c r="A290" s="17"/>
      <c r="B290" s="18"/>
      <c r="C290" s="18"/>
      <c r="D290" s="18"/>
      <c r="E290" s="19"/>
      <c r="F290" s="20"/>
      <c r="G290" s="20"/>
      <c r="H290" s="21" t="str">
        <f aca="false">IF(AND(F290="",G290=""),"",SUM(F$7:F290)-SUM(G$7:G290))</f>
        <v/>
      </c>
    </row>
    <row r="291" customFormat="false" ht="15" hidden="false" customHeight="false" outlineLevel="0" collapsed="false">
      <c r="A291" s="17"/>
      <c r="B291" s="18"/>
      <c r="C291" s="18"/>
      <c r="D291" s="18"/>
      <c r="E291" s="19"/>
      <c r="F291" s="20"/>
      <c r="G291" s="20"/>
      <c r="H291" s="21" t="str">
        <f aca="false">IF(AND(F291="",G291=""),"",SUM(F$7:F291)-SUM(G$7:G291))</f>
        <v/>
      </c>
    </row>
    <row r="292" customFormat="false" ht="15" hidden="false" customHeight="false" outlineLevel="0" collapsed="false">
      <c r="A292" s="17"/>
      <c r="B292" s="18"/>
      <c r="C292" s="18"/>
      <c r="D292" s="18"/>
      <c r="E292" s="19"/>
      <c r="F292" s="20"/>
      <c r="G292" s="20"/>
      <c r="H292" s="21" t="str">
        <f aca="false">IF(AND(F292="",G292=""),"",SUM(F$7:F292)-SUM(G$7:G292))</f>
        <v/>
      </c>
    </row>
    <row r="293" customFormat="false" ht="15" hidden="false" customHeight="false" outlineLevel="0" collapsed="false">
      <c r="A293" s="17"/>
      <c r="B293" s="18"/>
      <c r="C293" s="18"/>
      <c r="D293" s="18"/>
      <c r="E293" s="19"/>
      <c r="F293" s="20"/>
      <c r="G293" s="20"/>
      <c r="H293" s="21" t="str">
        <f aca="false">IF(AND(F293="",G293=""),"",SUM(F$7:F293)-SUM(G$7:G293))</f>
        <v/>
      </c>
    </row>
    <row r="294" customFormat="false" ht="15" hidden="false" customHeight="false" outlineLevel="0" collapsed="false">
      <c r="A294" s="17"/>
      <c r="B294" s="18"/>
      <c r="C294" s="18"/>
      <c r="D294" s="18"/>
      <c r="E294" s="19"/>
      <c r="F294" s="20"/>
      <c r="G294" s="20"/>
      <c r="H294" s="21" t="str">
        <f aca="false">IF(AND(F294="",G294=""),"",SUM(F$7:F294)-SUM(G$7:G294))</f>
        <v/>
      </c>
    </row>
    <row r="295" customFormat="false" ht="15" hidden="false" customHeight="false" outlineLevel="0" collapsed="false">
      <c r="A295" s="17"/>
      <c r="B295" s="18"/>
      <c r="C295" s="18"/>
      <c r="D295" s="18"/>
      <c r="E295" s="19"/>
      <c r="F295" s="20"/>
      <c r="G295" s="20"/>
      <c r="H295" s="21" t="str">
        <f aca="false">IF(AND(F295="",G295=""),"",SUM(F$7:F295)-SUM(G$7:G295))</f>
        <v/>
      </c>
    </row>
    <row r="296" customFormat="false" ht="15" hidden="false" customHeight="false" outlineLevel="0" collapsed="false">
      <c r="A296" s="17"/>
      <c r="B296" s="18"/>
      <c r="C296" s="18"/>
      <c r="D296" s="18"/>
      <c r="E296" s="19"/>
      <c r="F296" s="20"/>
      <c r="G296" s="20"/>
      <c r="H296" s="21" t="str">
        <f aca="false">IF(AND(F296="",G296=""),"",SUM(F$7:F296)-SUM(G$7:G296))</f>
        <v/>
      </c>
    </row>
    <row r="297" customFormat="false" ht="15" hidden="false" customHeight="false" outlineLevel="0" collapsed="false">
      <c r="A297" s="17"/>
      <c r="B297" s="18"/>
      <c r="C297" s="18"/>
      <c r="D297" s="18"/>
      <c r="E297" s="19"/>
      <c r="F297" s="20"/>
      <c r="G297" s="20"/>
      <c r="H297" s="21" t="str">
        <f aca="false">IF(AND(F297="",G297=""),"",SUM(F$7:F297)-SUM(G$7:G297))</f>
        <v/>
      </c>
    </row>
    <row r="298" customFormat="false" ht="15" hidden="false" customHeight="false" outlineLevel="0" collapsed="false">
      <c r="A298" s="17"/>
      <c r="B298" s="18"/>
      <c r="C298" s="18"/>
      <c r="D298" s="18"/>
      <c r="E298" s="19"/>
      <c r="F298" s="20"/>
      <c r="G298" s="20"/>
      <c r="H298" s="21" t="str">
        <f aca="false">IF(AND(F298="",G298=""),"",SUM(F$7:F298)-SUM(G$7:G298))</f>
        <v/>
      </c>
    </row>
    <row r="299" customFormat="false" ht="15" hidden="false" customHeight="false" outlineLevel="0" collapsed="false">
      <c r="A299" s="17"/>
      <c r="B299" s="18"/>
      <c r="C299" s="18"/>
      <c r="D299" s="18"/>
      <c r="E299" s="19"/>
      <c r="F299" s="20"/>
      <c r="G299" s="20"/>
      <c r="H299" s="21" t="str">
        <f aca="false">IF(AND(F299="",G299=""),"",SUM(F$7:F299)-SUM(G$7:G299))</f>
        <v/>
      </c>
    </row>
    <row r="300" customFormat="false" ht="15" hidden="false" customHeight="false" outlineLevel="0" collapsed="false">
      <c r="A300" s="17"/>
      <c r="B300" s="18"/>
      <c r="C300" s="18"/>
      <c r="D300" s="18"/>
      <c r="E300" s="19"/>
      <c r="F300" s="20"/>
      <c r="G300" s="20"/>
      <c r="H300" s="21" t="str">
        <f aca="false">IF(AND(F300="",G300=""),"",SUM(F$7:F300)-SUM(G$7:G300))</f>
        <v/>
      </c>
    </row>
    <row r="301" customFormat="false" ht="15" hidden="false" customHeight="false" outlineLevel="0" collapsed="false">
      <c r="A301" s="17"/>
      <c r="B301" s="18"/>
      <c r="C301" s="18"/>
      <c r="D301" s="18"/>
      <c r="E301" s="19"/>
      <c r="F301" s="20"/>
      <c r="G301" s="20"/>
      <c r="H301" s="21" t="str">
        <f aca="false">IF(AND(F301="",G301=""),"",SUM(F$7:F301)-SUM(G$7:G301))</f>
        <v/>
      </c>
    </row>
    <row r="302" customFormat="false" ht="15" hidden="false" customHeight="false" outlineLevel="0" collapsed="false">
      <c r="A302" s="17"/>
      <c r="B302" s="18"/>
      <c r="C302" s="18"/>
      <c r="D302" s="18"/>
      <c r="E302" s="19"/>
      <c r="F302" s="20"/>
      <c r="G302" s="20"/>
      <c r="H302" s="21" t="str">
        <f aca="false">IF(AND(F302="",G302=""),"",SUM(F$7:F302)-SUM(G$7:G302))</f>
        <v/>
      </c>
    </row>
    <row r="303" customFormat="false" ht="15" hidden="false" customHeight="false" outlineLevel="0" collapsed="false">
      <c r="A303" s="17"/>
      <c r="B303" s="18"/>
      <c r="C303" s="18"/>
      <c r="D303" s="18"/>
      <c r="E303" s="19"/>
      <c r="F303" s="20"/>
      <c r="G303" s="20"/>
      <c r="H303" s="21" t="str">
        <f aca="false">IF(AND(F303="",G303=""),"",SUM(F$7:F303)-SUM(G$7:G303))</f>
        <v/>
      </c>
    </row>
    <row r="304" customFormat="false" ht="15" hidden="false" customHeight="false" outlineLevel="0" collapsed="false">
      <c r="A304" s="17"/>
      <c r="B304" s="18"/>
      <c r="C304" s="18"/>
      <c r="D304" s="18"/>
      <c r="E304" s="19"/>
      <c r="F304" s="20"/>
      <c r="G304" s="20"/>
      <c r="H304" s="21" t="str">
        <f aca="false">IF(AND(F304="",G304=""),"",SUM(F$7:F304)-SUM(G$7:G304))</f>
        <v/>
      </c>
    </row>
    <row r="305" customFormat="false" ht="15" hidden="false" customHeight="false" outlineLevel="0" collapsed="false">
      <c r="A305" s="17"/>
      <c r="B305" s="18"/>
      <c r="C305" s="18"/>
      <c r="D305" s="18"/>
      <c r="E305" s="19"/>
      <c r="F305" s="20"/>
      <c r="G305" s="20"/>
      <c r="H305" s="21" t="str">
        <f aca="false">IF(AND(F305="",G305=""),"",SUM(F$7:F305)-SUM(G$7:G305))</f>
        <v/>
      </c>
    </row>
    <row r="306" customFormat="false" ht="15" hidden="false" customHeight="false" outlineLevel="0" collapsed="false">
      <c r="A306" s="17"/>
      <c r="B306" s="18"/>
      <c r="C306" s="18"/>
      <c r="D306" s="18"/>
      <c r="E306" s="19"/>
      <c r="F306" s="20"/>
      <c r="G306" s="20"/>
      <c r="H306" s="21" t="str">
        <f aca="false">IF(AND(F306="",G306=""),"",SUM(F$7:F306)-SUM(G$7:G306))</f>
        <v/>
      </c>
    </row>
  </sheetData>
  <mergeCells count="10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</mergeCells>
  <conditionalFormatting sqref="C7:C306">
    <cfRule type="cellIs" priority="2" operator="equal" aboveAverage="0" equalAverage="0" bottom="0" percent="0" rank="0" text="" dxfId="0">
      <formula>"Don reçu"</formula>
    </cfRule>
    <cfRule type="cellIs" priority="3" operator="equal" aboveAverage="0" equalAverage="0" bottom="0" percent="0" rank="0" text="" dxfId="1">
      <formula>"Logistique"</formula>
    </cfRule>
  </conditionalFormatting>
  <dataValidations count="2">
    <dataValidation allowBlank="true" errorStyle="stop" operator="between" showDropDown="false" showErrorMessage="false" showInputMessage="false" sqref="B7:B306" type="list">
      <formula1>Listes!$A$5:$A$16</formula1>
      <formula2>0</formula2>
    </dataValidation>
    <dataValidation allowBlank="true" errorStyle="stop" operator="between" showDropDown="false" showErrorMessage="false" showInputMessage="false" sqref="C7:C306" type="list">
      <formula1>Listes!$B$5:$B$12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5"/>
    <col collapsed="false" customWidth="true" hidden="false" outlineLevel="0" max="3" min="3" style="0" width="21"/>
    <col collapsed="false" customWidth="true" hidden="false" outlineLevel="0" max="4" min="4" style="0" width="18"/>
    <col collapsed="false" customWidth="true" hidden="false" outlineLevel="0" max="5" min="5" style="0" width="17"/>
    <col collapsed="false" customWidth="true" hidden="false" outlineLevel="0" max="6" min="6" style="0" width="16"/>
    <col collapsed="false" customWidth="true" hidden="false" outlineLevel="0" max="7" min="7" style="0" width="14"/>
  </cols>
  <sheetData>
    <row r="1" customFormat="false" ht="27.75" hidden="false" customHeight="true" outlineLevel="0" collapsed="false">
      <c r="A1" s="1" t="s">
        <v>38</v>
      </c>
      <c r="B1" s="1"/>
      <c r="C1" s="1"/>
      <c r="D1" s="1"/>
      <c r="E1" s="1"/>
      <c r="F1" s="1"/>
      <c r="G1" s="1"/>
    </row>
    <row r="2" customFormat="false" ht="25.5" hidden="false" customHeight="true" outlineLevel="0" collapsed="false">
      <c r="A2" s="2" t="s">
        <v>39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2" t="s">
        <v>40</v>
      </c>
      <c r="B3" s="23" t="n">
        <v>2026</v>
      </c>
    </row>
    <row r="5" customFormat="false" ht="25.5" hidden="false" customHeight="true" outlineLevel="0" collapsed="false">
      <c r="A5" s="16" t="s">
        <v>22</v>
      </c>
      <c r="B5" s="16" t="s">
        <v>41</v>
      </c>
      <c r="C5" s="16" t="s">
        <v>42</v>
      </c>
      <c r="D5" s="16" t="s">
        <v>43</v>
      </c>
      <c r="E5" s="16" t="s">
        <v>44</v>
      </c>
      <c r="F5" s="16" t="s">
        <v>45</v>
      </c>
      <c r="G5" s="16" t="s">
        <v>46</v>
      </c>
    </row>
    <row r="6" customFormat="false" ht="15" hidden="false" customHeight="false" outlineLevel="0" collapsed="false">
      <c r="A6" s="24" t="str">
        <f aca="false">IF(Listes!A5="","",Listes!A5)</f>
        <v>Rentrée scolaire 2025</v>
      </c>
      <c r="B6" s="25" t="n">
        <f aca="false">IF($A6="","",SUMIFS(Trésorerie!$F$7:$F$306,Trésorerie!$B$7:$B$306,$A6))</f>
        <v>0</v>
      </c>
      <c r="C6" s="20"/>
      <c r="D6" s="25" t="n">
        <f aca="false">IF($A6="","",SUMIFS(Trésorerie!$G$7:$G$306,Trésorerie!$B$7:$B$306,$A6))</f>
        <v>0</v>
      </c>
      <c r="E6" s="25" t="str">
        <f aca="false">IF(OR($A6="",C6=""),"",C6-D6)</f>
        <v/>
      </c>
      <c r="F6" s="21" t="n">
        <f aca="false">IF($A6="","",B6-IF(C6="",0,C6))</f>
        <v>0</v>
      </c>
      <c r="G6" s="26" t="str">
        <f aca="false">IF(OR($A6="",C6="",C6=0),"",D6/C6)</f>
        <v/>
      </c>
    </row>
    <row r="7" customFormat="false" ht="15" hidden="false" customHeight="false" outlineLevel="0" collapsed="false">
      <c r="A7" s="24" t="str">
        <f aca="false">IF(Listes!A6="","",Listes!A6)</f>
        <v>Noël 2025</v>
      </c>
      <c r="B7" s="25" t="n">
        <f aca="false">IF($A7="","",SUMIFS(Trésorerie!$F$7:$F$306,Trésorerie!$B$7:$B$306,$A7))</f>
        <v>3200</v>
      </c>
      <c r="C7" s="20" t="n">
        <v>3000</v>
      </c>
      <c r="D7" s="25" t="n">
        <f aca="false">IF($A7="","",SUMIFS(Trésorerie!$G$7:$G$306,Trésorerie!$B$7:$B$306,$A7))</f>
        <v>340</v>
      </c>
      <c r="E7" s="25" t="n">
        <f aca="false">IF(OR($A7="",C7=""),"",C7-D7)</f>
        <v>2660</v>
      </c>
      <c r="F7" s="21" t="n">
        <f aca="false">IF($A7="","",B7-IF(C7="",0,C7))</f>
        <v>200</v>
      </c>
      <c r="G7" s="26" t="n">
        <f aca="false">IF(OR($A7="",C7="",C7=0),"",D7/C7)</f>
        <v>0.113333333333333</v>
      </c>
    </row>
    <row r="8" customFormat="false" ht="15" hidden="false" customHeight="false" outlineLevel="0" collapsed="false">
      <c r="A8" s="24" t="str">
        <f aca="false">IF(Listes!A7="","",Listes!A7)</f>
        <v>Pâques 2026</v>
      </c>
      <c r="B8" s="25" t="n">
        <f aca="false">IF($A8="","",SUMIFS(Trésorerie!$F$7:$F$306,Trésorerie!$B$7:$B$306,$A8))</f>
        <v>0</v>
      </c>
      <c r="C8" s="20"/>
      <c r="D8" s="25" t="n">
        <f aca="false">IF($A8="","",SUMIFS(Trésorerie!$G$7:$G$306,Trésorerie!$B$7:$B$306,$A8))</f>
        <v>0</v>
      </c>
      <c r="E8" s="25" t="str">
        <f aca="false">IF(OR($A8="",C8=""),"",C8-D8)</f>
        <v/>
      </c>
      <c r="F8" s="21" t="n">
        <f aca="false">IF($A8="","",B8-IF(C8="",0,C8))</f>
        <v>0</v>
      </c>
      <c r="G8" s="26" t="str">
        <f aca="false">IF(OR($A8="",C8="",C8=0),"",D8/C8)</f>
        <v/>
      </c>
    </row>
    <row r="9" customFormat="false" ht="15" hidden="false" customHeight="false" outlineLevel="0" collapsed="false">
      <c r="A9" s="24" t="str">
        <f aca="false">IF(Listes!A8="","",Listes!A8)</f>
        <v>Rentrée scolaire 2026</v>
      </c>
      <c r="B9" s="25" t="n">
        <f aca="false">IF($A9="","",SUMIFS(Trésorerie!$F$7:$F$306,Trésorerie!$B$7:$B$306,$A9))</f>
        <v>0</v>
      </c>
      <c r="C9" s="20"/>
      <c r="D9" s="25" t="n">
        <f aca="false">IF($A9="","",SUMIFS(Trésorerie!$G$7:$G$306,Trésorerie!$B$7:$B$306,$A9))</f>
        <v>0</v>
      </c>
      <c r="E9" s="25" t="str">
        <f aca="false">IF(OR($A9="",C9=""),"",C9-D9)</f>
        <v/>
      </c>
      <c r="F9" s="21" t="n">
        <f aca="false">IF($A9="","",B9-IF(C9="",0,C9))</f>
        <v>0</v>
      </c>
      <c r="G9" s="26" t="str">
        <f aca="false">IF(OR($A9="",C9="",C9=0),"",D9/C9)</f>
        <v/>
      </c>
    </row>
    <row r="10" customFormat="false" ht="15" hidden="false" customHeight="false" outlineLevel="0" collapsed="false">
      <c r="A10" s="24" t="str">
        <f aca="false">IF(Listes!A9="","",Listes!A9)</f>
        <v>Noël 2026</v>
      </c>
      <c r="B10" s="25" t="n">
        <f aca="false">IF($A10="","",SUMIFS(Trésorerie!$F$7:$F$306,Trésorerie!$B$7:$B$306,$A10))</f>
        <v>0</v>
      </c>
      <c r="C10" s="20"/>
      <c r="D10" s="25" t="n">
        <f aca="false">IF($A10="","",SUMIFS(Trésorerie!$G$7:$G$306,Trésorerie!$B$7:$B$306,$A10))</f>
        <v>0</v>
      </c>
      <c r="E10" s="25" t="str">
        <f aca="false">IF(OR($A10="",C10=""),"",C10-D10)</f>
        <v/>
      </c>
      <c r="F10" s="21" t="n">
        <f aca="false">IF($A10="","",B10-IF(C10="",0,C10))</f>
        <v>0</v>
      </c>
      <c r="G10" s="26" t="str">
        <f aca="false">IF(OR($A10="",C10="",C10=0),"",D10/C10)</f>
        <v/>
      </c>
    </row>
    <row r="11" customFormat="false" ht="15" hidden="false" customHeight="false" outlineLevel="0" collapsed="false">
      <c r="A11" s="24" t="str">
        <f aca="false">IF(Listes!A10="","",Listes!A10)</f>
        <v>Opérations ponctuelles 2026</v>
      </c>
      <c r="B11" s="25" t="n">
        <f aca="false">IF($A11="","",SUMIFS(Trésorerie!$F$7:$F$306,Trésorerie!$B$7:$B$306,$A11))</f>
        <v>0</v>
      </c>
      <c r="C11" s="20"/>
      <c r="D11" s="25" t="n">
        <f aca="false">IF($A11="","",SUMIFS(Trésorerie!$G$7:$G$306,Trésorerie!$B$7:$B$306,$A11))</f>
        <v>0</v>
      </c>
      <c r="E11" s="25" t="str">
        <f aca="false">IF(OR($A11="",C11=""),"",C11-D11)</f>
        <v/>
      </c>
      <c r="F11" s="21" t="n">
        <f aca="false">IF($A11="","",B11-IF(C11="",0,C11))</f>
        <v>0</v>
      </c>
      <c r="G11" s="26" t="str">
        <f aca="false">IF(OR($A11="",C11="",C11=0),"",D11/C11)</f>
        <v/>
      </c>
    </row>
    <row r="12" customFormat="false" ht="15" hidden="false" customHeight="false" outlineLevel="0" collapsed="false">
      <c r="A12" s="24" t="str">
        <f aca="false">IF(Listes!A11="","",Listes!A11)</f>
        <v/>
      </c>
      <c r="B12" s="25" t="str">
        <f aca="false">IF($A12="","",SUMIFS(Trésorerie!$F$7:$F$306,Trésorerie!$B$7:$B$306,$A12))</f>
        <v/>
      </c>
      <c r="C12" s="20"/>
      <c r="D12" s="25" t="str">
        <f aca="false">IF($A12="","",SUMIFS(Trésorerie!$G$7:$G$306,Trésorerie!$B$7:$B$306,$A12))</f>
        <v/>
      </c>
      <c r="E12" s="25" t="str">
        <f aca="false">IF(OR($A12="",C12=""),"",C12-D12)</f>
        <v/>
      </c>
      <c r="F12" s="21" t="str">
        <f aca="false">IF($A12="","",B12-IF(C12="",0,C12))</f>
        <v/>
      </c>
      <c r="G12" s="26" t="str">
        <f aca="false">IF(OR($A12="",C12="",C12=0),"",D12/C12)</f>
        <v/>
      </c>
    </row>
    <row r="13" customFormat="false" ht="15" hidden="false" customHeight="false" outlineLevel="0" collapsed="false">
      <c r="A13" s="24" t="str">
        <f aca="false">IF(Listes!A12="","",Listes!A12)</f>
        <v/>
      </c>
      <c r="B13" s="25" t="str">
        <f aca="false">IF($A13="","",SUMIFS(Trésorerie!$F$7:$F$306,Trésorerie!$B$7:$B$306,$A13))</f>
        <v/>
      </c>
      <c r="C13" s="20"/>
      <c r="D13" s="25" t="str">
        <f aca="false">IF($A13="","",SUMIFS(Trésorerie!$G$7:$G$306,Trésorerie!$B$7:$B$306,$A13))</f>
        <v/>
      </c>
      <c r="E13" s="25" t="str">
        <f aca="false">IF(OR($A13="",C13=""),"",C13-D13)</f>
        <v/>
      </c>
      <c r="F13" s="21" t="str">
        <f aca="false">IF($A13="","",B13-IF(C13="",0,C13))</f>
        <v/>
      </c>
      <c r="G13" s="26" t="str">
        <f aca="false">IF(OR($A13="",C13="",C13=0),"",D13/C13)</f>
        <v/>
      </c>
    </row>
    <row r="14" customFormat="false" ht="15" hidden="false" customHeight="false" outlineLevel="0" collapsed="false">
      <c r="A14" s="24" t="str">
        <f aca="false">IF(Listes!A13="","",Listes!A13)</f>
        <v/>
      </c>
      <c r="B14" s="25" t="str">
        <f aca="false">IF($A14="","",SUMIFS(Trésorerie!$F$7:$F$306,Trésorerie!$B$7:$B$306,$A14))</f>
        <v/>
      </c>
      <c r="C14" s="20"/>
      <c r="D14" s="25" t="str">
        <f aca="false">IF($A14="","",SUMIFS(Trésorerie!$G$7:$G$306,Trésorerie!$B$7:$B$306,$A14))</f>
        <v/>
      </c>
      <c r="E14" s="25" t="str">
        <f aca="false">IF(OR($A14="",C14=""),"",C14-D14)</f>
        <v/>
      </c>
      <c r="F14" s="21" t="str">
        <f aca="false">IF($A14="","",B14-IF(C14="",0,C14))</f>
        <v/>
      </c>
      <c r="G14" s="26" t="str">
        <f aca="false">IF(OR($A14="",C14="",C14=0),"",D14/C14)</f>
        <v/>
      </c>
    </row>
    <row r="15" customFormat="false" ht="15" hidden="false" customHeight="false" outlineLevel="0" collapsed="false">
      <c r="A15" s="24" t="str">
        <f aca="false">IF(Listes!A14="","",Listes!A14)</f>
        <v/>
      </c>
      <c r="B15" s="25" t="str">
        <f aca="false">IF($A15="","",SUMIFS(Trésorerie!$F$7:$F$306,Trésorerie!$B$7:$B$306,$A15))</f>
        <v/>
      </c>
      <c r="C15" s="20"/>
      <c r="D15" s="25" t="str">
        <f aca="false">IF($A15="","",SUMIFS(Trésorerie!$G$7:$G$306,Trésorerie!$B$7:$B$306,$A15))</f>
        <v/>
      </c>
      <c r="E15" s="25" t="str">
        <f aca="false">IF(OR($A15="",C15=""),"",C15-D15)</f>
        <v/>
      </c>
      <c r="F15" s="21" t="str">
        <f aca="false">IF($A15="","",B15-IF(C15="",0,C15))</f>
        <v/>
      </c>
      <c r="G15" s="26" t="str">
        <f aca="false">IF(OR($A15="",C15="",C15=0),"",D15/C15)</f>
        <v/>
      </c>
    </row>
    <row r="16" customFormat="false" ht="15" hidden="false" customHeight="false" outlineLevel="0" collapsed="false">
      <c r="A16" s="24" t="str">
        <f aca="false">IF(Listes!A15="","",Listes!A15)</f>
        <v/>
      </c>
      <c r="B16" s="25" t="str">
        <f aca="false">IF($A16="","",SUMIFS(Trésorerie!$F$7:$F$306,Trésorerie!$B$7:$B$306,$A16))</f>
        <v/>
      </c>
      <c r="C16" s="20"/>
      <c r="D16" s="25" t="str">
        <f aca="false">IF($A16="","",SUMIFS(Trésorerie!$G$7:$G$306,Trésorerie!$B$7:$B$306,$A16))</f>
        <v/>
      </c>
      <c r="E16" s="25" t="str">
        <f aca="false">IF(OR($A16="",C16=""),"",C16-D16)</f>
        <v/>
      </c>
      <c r="F16" s="21" t="str">
        <f aca="false">IF($A16="","",B16-IF(C16="",0,C16))</f>
        <v/>
      </c>
      <c r="G16" s="26" t="str">
        <f aca="false">IF(OR($A16="",C16="",C16=0),"",D16/C16)</f>
        <v/>
      </c>
    </row>
    <row r="17" customFormat="false" ht="15" hidden="false" customHeight="false" outlineLevel="0" collapsed="false">
      <c r="A17" s="24" t="str">
        <f aca="false">IF(Listes!A16="","",Listes!A16)</f>
        <v/>
      </c>
      <c r="B17" s="25" t="str">
        <f aca="false">IF($A17="","",SUMIFS(Trésorerie!$F$7:$F$306,Trésorerie!$B$7:$B$306,$A17))</f>
        <v/>
      </c>
      <c r="C17" s="20"/>
      <c r="D17" s="25" t="str">
        <f aca="false">IF($A17="","",SUMIFS(Trésorerie!$G$7:$G$306,Trésorerie!$B$7:$B$306,$A17))</f>
        <v/>
      </c>
      <c r="E17" s="25" t="str">
        <f aca="false">IF(OR($A17="",C17=""),"",C17-D17)</f>
        <v/>
      </c>
      <c r="F17" s="21" t="str">
        <f aca="false">IF($A17="","",B17-IF(C17="",0,C17))</f>
        <v/>
      </c>
      <c r="G17" s="26" t="str">
        <f aca="false">IF(OR($A17="",C17="",C17=0),"",D17/C17)</f>
        <v/>
      </c>
    </row>
    <row r="18" customFormat="false" ht="21.75" hidden="false" customHeight="true" outlineLevel="0" collapsed="false">
      <c r="A18" s="27" t="s">
        <v>47</v>
      </c>
      <c r="B18" s="28" t="n">
        <f aca="false">SUM(B6:B17)</f>
        <v>3200</v>
      </c>
      <c r="C18" s="28" t="n">
        <f aca="false">SUM(C6:C17)</f>
        <v>3000</v>
      </c>
      <c r="D18" s="28" t="n">
        <f aca="false">SUM(D6:D17)</f>
        <v>340</v>
      </c>
      <c r="E18" s="28" t="n">
        <f aca="false">SUM(E6:E17)</f>
        <v>2660</v>
      </c>
      <c r="F18" s="28" t="n">
        <f aca="false">SUM(F6:F17)</f>
        <v>200</v>
      </c>
      <c r="G18" s="29" t="n">
        <f aca="false">IF(C18=0,"",D18/C18)</f>
        <v>0.113333333333333</v>
      </c>
    </row>
  </sheetData>
  <mergeCells count="2">
    <mergeCell ref="A1:G1"/>
    <mergeCell ref="A2:G2"/>
  </mergeCells>
  <conditionalFormatting sqref="G6:G17">
    <cfRule type="dataBar" priority="2">
      <dataBar showValue="1" minLength="10" maxLength="90">
        <cfvo type="num" val="0"/>
        <cfvo type="num" val="1"/>
        <color rgb="FFF9931D"/>
      </dataBar>
      <extLst>
        <ext xmlns:x14="http://schemas.microsoft.com/office/spreadsheetml/2009/9/main" uri="{B025F937-C7B1-47D3-B67F-A62EFF666E3E}">
          <x14:id>{2DD6E22C-EBAF-4E7F-97F0-409CCAA96739}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D6E22C-EBAF-4E7F-97F0-409CCAA9673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F9931D"/>
              <x14:axisColor rgb="FF000000"/>
            </x14:dataBar>
          </x14:cfRule>
          <xm:sqref>G6:G17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5"/>
    <col collapsed="false" customWidth="true" hidden="false" outlineLevel="0" max="5" min="5" style="0" width="14"/>
  </cols>
  <sheetData>
    <row r="1" customFormat="false" ht="27.75" hidden="false" customHeight="true" outlineLevel="0" collapsed="false">
      <c r="A1" s="1" t="s">
        <v>48</v>
      </c>
      <c r="B1" s="1"/>
      <c r="C1" s="1"/>
      <c r="D1" s="1"/>
      <c r="E1" s="1"/>
    </row>
    <row r="2" customFormat="false" ht="25.5" hidden="false" customHeight="true" outlineLevel="0" collapsed="false">
      <c r="A2" s="2" t="s">
        <v>49</v>
      </c>
      <c r="B2" s="2"/>
      <c r="C2" s="2"/>
      <c r="D2" s="2"/>
      <c r="E2" s="2"/>
    </row>
    <row r="3" customFormat="false" ht="15" hidden="false" customHeight="false" outlineLevel="0" collapsed="false">
      <c r="A3" s="22" t="s">
        <v>40</v>
      </c>
      <c r="B3" s="23" t="n">
        <v>2026</v>
      </c>
    </row>
    <row r="5" customFormat="false" ht="25.5" hidden="false" customHeight="true" outlineLevel="0" collapsed="false">
      <c r="A5" s="16" t="s">
        <v>50</v>
      </c>
      <c r="B5" s="16" t="s">
        <v>51</v>
      </c>
      <c r="C5" s="16" t="s">
        <v>52</v>
      </c>
      <c r="D5" s="16" t="s">
        <v>53</v>
      </c>
      <c r="E5" s="16" t="s">
        <v>54</v>
      </c>
    </row>
    <row r="6" customFormat="false" ht="15" hidden="false" customHeight="false" outlineLevel="0" collapsed="false">
      <c r="A6" s="18" t="s">
        <v>32</v>
      </c>
      <c r="B6" s="20" t="n">
        <v>1500</v>
      </c>
      <c r="C6" s="25" t="n">
        <f aca="false">IF($A6="","",SUMIF(Trésorerie!$C$7:$C$306,$A6,Trésorerie!$G$7:$G$306))</f>
        <v>260</v>
      </c>
      <c r="D6" s="25" t="n">
        <f aca="false">IF(OR($A6="",B6=""),"",B6-C6)</f>
        <v>1240</v>
      </c>
      <c r="E6" s="26" t="n">
        <f aca="false">IF(OR($A6="",B6="",B6=0),"",C6/B6)</f>
        <v>0.173333333333333</v>
      </c>
    </row>
    <row r="7" customFormat="false" ht="15" hidden="false" customHeight="false" outlineLevel="0" collapsed="false">
      <c r="A7" s="18" t="s">
        <v>35</v>
      </c>
      <c r="B7" s="20" t="n">
        <v>300</v>
      </c>
      <c r="C7" s="25" t="n">
        <f aca="false">IF($A7="","",SUMIF(Trésorerie!$C$7:$C$306,$A7,Trésorerie!$G$7:$G$306))</f>
        <v>80</v>
      </c>
      <c r="D7" s="25" t="n">
        <f aca="false">IF(OR($A7="",B7=""),"",B7-C7)</f>
        <v>220</v>
      </c>
      <c r="E7" s="26" t="n">
        <f aca="false">IF(OR($A7="",B7="",B7=0),"",C7/B7)</f>
        <v>0.266666666666667</v>
      </c>
    </row>
    <row r="8" customFormat="false" ht="15" hidden="false" customHeight="false" outlineLevel="0" collapsed="false">
      <c r="A8" s="18" t="s">
        <v>55</v>
      </c>
      <c r="B8" s="20" t="n">
        <v>200</v>
      </c>
      <c r="C8" s="25" t="n">
        <f aca="false">IF($A8="","",SUMIF(Trésorerie!$C$7:$C$306,$A8,Trésorerie!$G$7:$G$306))</f>
        <v>0</v>
      </c>
      <c r="D8" s="25" t="n">
        <f aca="false">IF(OR($A8="",B8=""),"",B8-C8)</f>
        <v>200</v>
      </c>
      <c r="E8" s="26" t="n">
        <f aca="false">IF(OR($A8="",B8="",B8=0),"",C8/B8)</f>
        <v>0</v>
      </c>
    </row>
    <row r="9" customFormat="false" ht="15" hidden="false" customHeight="false" outlineLevel="0" collapsed="false">
      <c r="A9" s="18" t="s">
        <v>56</v>
      </c>
      <c r="B9" s="20" t="n">
        <v>100</v>
      </c>
      <c r="C9" s="25" t="n">
        <f aca="false">IF($A9="","",SUMIF(Trésorerie!$C$7:$C$306,$A9,Trésorerie!$G$7:$G$306))</f>
        <v>0</v>
      </c>
      <c r="D9" s="25" t="n">
        <f aca="false">IF(OR($A9="",B9=""),"",B9-C9)</f>
        <v>100</v>
      </c>
      <c r="E9" s="26" t="n">
        <f aca="false">IF(OR($A9="",B9="",B9=0),"",C9/B9)</f>
        <v>0</v>
      </c>
    </row>
    <row r="10" customFormat="false" ht="15" hidden="false" customHeight="false" outlineLevel="0" collapsed="false">
      <c r="A10" s="18"/>
      <c r="B10" s="20"/>
      <c r="C10" s="25" t="str">
        <f aca="false">IF($A10="","",SUMIF(Trésorerie!$C$7:$C$306,$A10,Trésorerie!$G$7:$G$306))</f>
        <v/>
      </c>
      <c r="D10" s="25" t="str">
        <f aca="false">IF(OR($A10="",B10=""),"",B10-C10)</f>
        <v/>
      </c>
      <c r="E10" s="26" t="str">
        <f aca="false">IF(OR($A10="",B10="",B10=0),"",C10/B10)</f>
        <v/>
      </c>
    </row>
    <row r="11" customFormat="false" ht="15" hidden="false" customHeight="false" outlineLevel="0" collapsed="false">
      <c r="A11" s="18"/>
      <c r="B11" s="20"/>
      <c r="C11" s="25" t="str">
        <f aca="false">IF($A11="","",SUMIF(Trésorerie!$C$7:$C$306,$A11,Trésorerie!$G$7:$G$306))</f>
        <v/>
      </c>
      <c r="D11" s="25" t="str">
        <f aca="false">IF(OR($A11="",B11=""),"",B11-C11)</f>
        <v/>
      </c>
      <c r="E11" s="26" t="str">
        <f aca="false">IF(OR($A11="",B11="",B11=0),"",C11/B11)</f>
        <v/>
      </c>
    </row>
    <row r="12" customFormat="false" ht="15" hidden="false" customHeight="false" outlineLevel="0" collapsed="false">
      <c r="A12" s="18"/>
      <c r="B12" s="20"/>
      <c r="C12" s="25" t="str">
        <f aca="false">IF($A12="","",SUMIF(Trésorerie!$C$7:$C$306,$A12,Trésorerie!$G$7:$G$306))</f>
        <v/>
      </c>
      <c r="D12" s="25" t="str">
        <f aca="false">IF(OR($A12="",B12=""),"",B12-C12)</f>
        <v/>
      </c>
      <c r="E12" s="26" t="str">
        <f aca="false">IF(OR($A12="",B12="",B12=0),"",C12/B12)</f>
        <v/>
      </c>
    </row>
    <row r="13" customFormat="false" ht="15" hidden="false" customHeight="false" outlineLevel="0" collapsed="false">
      <c r="A13" s="18"/>
      <c r="B13" s="20"/>
      <c r="C13" s="25" t="str">
        <f aca="false">IF($A13="","",SUMIF(Trésorerie!$C$7:$C$306,$A13,Trésorerie!$G$7:$G$306))</f>
        <v/>
      </c>
      <c r="D13" s="25" t="str">
        <f aca="false">IF(OR($A13="",B13=""),"",B13-C13)</f>
        <v/>
      </c>
      <c r="E13" s="26" t="str">
        <f aca="false">IF(OR($A13="",B13="",B13=0),"",C13/B13)</f>
        <v/>
      </c>
    </row>
    <row r="14" customFormat="false" ht="15" hidden="false" customHeight="false" outlineLevel="0" collapsed="false">
      <c r="A14" s="18"/>
      <c r="B14" s="20"/>
      <c r="C14" s="25" t="str">
        <f aca="false">IF($A14="","",SUMIF(Trésorerie!$C$7:$C$306,$A14,Trésorerie!$G$7:$G$306))</f>
        <v/>
      </c>
      <c r="D14" s="25" t="str">
        <f aca="false">IF(OR($A14="",B14=""),"",B14-C14)</f>
        <v/>
      </c>
      <c r="E14" s="26" t="str">
        <f aca="false">IF(OR($A14="",B14="",B14=0),"",C14/B14)</f>
        <v/>
      </c>
    </row>
    <row r="15" customFormat="false" ht="15" hidden="false" customHeight="false" outlineLevel="0" collapsed="false">
      <c r="A15" s="18"/>
      <c r="B15" s="20"/>
      <c r="C15" s="25" t="str">
        <f aca="false">IF($A15="","",SUMIF(Trésorerie!$C$7:$C$306,$A15,Trésorerie!$G$7:$G$306))</f>
        <v/>
      </c>
      <c r="D15" s="25" t="str">
        <f aca="false">IF(OR($A15="",B15=""),"",B15-C15)</f>
        <v/>
      </c>
      <c r="E15" s="26" t="str">
        <f aca="false">IF(OR($A15="",B15="",B15=0),"",C15/B15)</f>
        <v/>
      </c>
    </row>
    <row r="16" customFormat="false" ht="15" hidden="false" customHeight="false" outlineLevel="0" collapsed="false">
      <c r="A16" s="30" t="s">
        <v>57</v>
      </c>
      <c r="B16" s="31" t="n">
        <f aca="false">SUM(B6:B15)</f>
        <v>2100</v>
      </c>
      <c r="C16" s="31" t="n">
        <f aca="false">SUM(C6:C15)</f>
        <v>340</v>
      </c>
      <c r="D16" s="31" t="n">
        <f aca="false">SUM(D6:D15)</f>
        <v>1760</v>
      </c>
      <c r="E16" s="32" t="n">
        <f aca="false">IF(B16=0,"",C16/B16)</f>
        <v>0.161904761904762</v>
      </c>
    </row>
  </sheetData>
  <mergeCells count="2">
    <mergeCell ref="A1:E1"/>
    <mergeCell ref="A2:E2"/>
  </mergeCells>
  <conditionalFormatting sqref="E6:E15">
    <cfRule type="cellIs" priority="2" operator="greaterThan" aboveAverage="0" equalAverage="0" bottom="0" percent="0" rank="0" text="" dxfId="2">
      <formula>1</formula>
    </cfRule>
    <cfRule type="dataBar" priority="3">
      <dataBar showValue="1" minLength="10" maxLength="90">
        <cfvo type="num" val="0"/>
        <cfvo type="num" val="1"/>
        <color rgb="FF45B84B"/>
      </dataBar>
      <extLst>
        <ext xmlns:x14="http://schemas.microsoft.com/office/spreadsheetml/2009/9/main" uri="{B025F937-C7B1-47D3-B67F-A62EFF666E3E}">
          <x14:id>{1D872821-6712-496D-B7E3-B4D28C6DE030}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872821-6712-496D-B7E3-B4D28C6DE03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5B84B"/>
              <x14:axisColor rgb="FF000000"/>
            </x14:dataBar>
          </x14:cfRule>
          <xm:sqref>E6:E15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6" min="3" style="0" width="13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59</v>
      </c>
      <c r="B2" s="2"/>
      <c r="C2" s="2"/>
      <c r="D2" s="2"/>
      <c r="E2" s="2"/>
      <c r="F2" s="2"/>
      <c r="G2" s="2"/>
      <c r="H2" s="2"/>
    </row>
    <row r="5" customFormat="false" ht="25.5" hidden="false" customHeight="true" outlineLevel="0" collapsed="false">
      <c r="A5" s="16" t="s">
        <v>60</v>
      </c>
      <c r="B5" s="16" t="s">
        <v>61</v>
      </c>
      <c r="C5" s="33" t="s">
        <v>29</v>
      </c>
      <c r="D5" s="33" t="s">
        <v>62</v>
      </c>
      <c r="E5" s="33" t="s">
        <v>63</v>
      </c>
      <c r="F5" s="33" t="s">
        <v>64</v>
      </c>
      <c r="G5" s="16" t="s">
        <v>65</v>
      </c>
      <c r="H5" s="16" t="s">
        <v>66</v>
      </c>
    </row>
    <row r="6" customFormat="false" ht="15" hidden="false" customHeight="false" outlineLevel="0" collapsed="false">
      <c r="A6" s="18" t="s">
        <v>67</v>
      </c>
      <c r="B6" s="19" t="s">
        <v>68</v>
      </c>
      <c r="C6" s="20" t="n">
        <v>18</v>
      </c>
      <c r="D6" s="20" t="n">
        <v>19.5</v>
      </c>
      <c r="E6" s="20"/>
      <c r="F6" s="20"/>
      <c r="G6" s="34" t="n">
        <f aca="false">IF(C6="","",IF(F6&lt;&gt;"",(F6-C6)/C6,IF(E6&lt;&gt;"",(E6-C6)/C6,IF(D6&lt;&gt;"",(D6-C6)/C6,""))))</f>
        <v>0.0833333333333333</v>
      </c>
      <c r="H6" s="18"/>
    </row>
    <row r="7" customFormat="false" ht="15" hidden="false" customHeight="false" outlineLevel="0" collapsed="false">
      <c r="A7" s="18" t="s">
        <v>69</v>
      </c>
      <c r="B7" s="19" t="s">
        <v>70</v>
      </c>
      <c r="C7" s="20"/>
      <c r="D7" s="20"/>
      <c r="E7" s="20"/>
      <c r="F7" s="20"/>
      <c r="G7" s="34" t="str">
        <f aca="false">IF(C7="","",IF(F7&lt;&gt;"",(F7-C7)/C7,IF(E7&lt;&gt;"",(E7-C7)/C7,IF(D7&lt;&gt;"",(D7-C7)/C7,""))))</f>
        <v/>
      </c>
      <c r="H7" s="18"/>
    </row>
    <row r="8" customFormat="false" ht="15" hidden="false" customHeight="false" outlineLevel="0" collapsed="false">
      <c r="A8" s="18" t="s">
        <v>71</v>
      </c>
      <c r="B8" s="19" t="s">
        <v>70</v>
      </c>
      <c r="C8" s="20"/>
      <c r="D8" s="20"/>
      <c r="E8" s="20"/>
      <c r="F8" s="20"/>
      <c r="G8" s="34" t="str">
        <f aca="false">IF(C8="","",IF(F8&lt;&gt;"",(F8-C8)/C8,IF(E8&lt;&gt;"",(E8-C8)/C8,IF(D8&lt;&gt;"",(D8-C8)/C8,""))))</f>
        <v/>
      </c>
      <c r="H8" s="18"/>
    </row>
    <row r="9" customFormat="false" ht="15" hidden="false" customHeight="false" outlineLevel="0" collapsed="false">
      <c r="A9" s="18" t="s">
        <v>72</v>
      </c>
      <c r="B9" s="19" t="s">
        <v>70</v>
      </c>
      <c r="C9" s="20"/>
      <c r="D9" s="20"/>
      <c r="E9" s="20"/>
      <c r="F9" s="20"/>
      <c r="G9" s="34" t="str">
        <f aca="false">IF(C9="","",IF(F9&lt;&gt;"",(F9-C9)/C9,IF(E9&lt;&gt;"",(E9-C9)/C9,IF(D9&lt;&gt;"",(D9-C9)/C9,""))))</f>
        <v/>
      </c>
      <c r="H9" s="18"/>
    </row>
    <row r="10" customFormat="false" ht="15" hidden="false" customHeight="false" outlineLevel="0" collapsed="false">
      <c r="A10" s="18" t="s">
        <v>73</v>
      </c>
      <c r="B10" s="19" t="s">
        <v>74</v>
      </c>
      <c r="C10" s="20"/>
      <c r="D10" s="20"/>
      <c r="E10" s="20"/>
      <c r="F10" s="20"/>
      <c r="G10" s="34" t="str">
        <f aca="false">IF(C10="","",IF(F10&lt;&gt;"",(F10-C10)/C10,IF(E10&lt;&gt;"",(E10-C10)/C10,IF(D10&lt;&gt;"",(D10-C10)/C10,""))))</f>
        <v/>
      </c>
      <c r="H10" s="18"/>
    </row>
    <row r="11" customFormat="false" ht="15" hidden="false" customHeight="false" outlineLevel="0" collapsed="false">
      <c r="A11" s="18" t="s">
        <v>75</v>
      </c>
      <c r="B11" s="19" t="s">
        <v>76</v>
      </c>
      <c r="C11" s="20"/>
      <c r="D11" s="20"/>
      <c r="E11" s="20"/>
      <c r="F11" s="20"/>
      <c r="G11" s="34" t="str">
        <f aca="false">IF(C11="","",IF(F11&lt;&gt;"",(F11-C11)/C11,IF(E11&lt;&gt;"",(E11-C11)/C11,IF(D11&lt;&gt;"",(D11-C11)/C11,""))))</f>
        <v/>
      </c>
      <c r="H11" s="18"/>
    </row>
    <row r="12" customFormat="false" ht="15" hidden="false" customHeight="false" outlineLevel="0" collapsed="false">
      <c r="A12" s="18" t="s">
        <v>77</v>
      </c>
      <c r="B12" s="19" t="s">
        <v>70</v>
      </c>
      <c r="C12" s="20"/>
      <c r="D12" s="20"/>
      <c r="E12" s="20"/>
      <c r="F12" s="20"/>
      <c r="G12" s="34" t="str">
        <f aca="false">IF(C12="","",IF(F12&lt;&gt;"",(F12-C12)/C12,IF(E12&lt;&gt;"",(E12-C12)/C12,IF(D12&lt;&gt;"",(D12-C12)/C12,""))))</f>
        <v/>
      </c>
      <c r="H12" s="18"/>
    </row>
    <row r="13" customFormat="false" ht="15" hidden="false" customHeight="false" outlineLevel="0" collapsed="false">
      <c r="A13" s="18"/>
      <c r="B13" s="19"/>
      <c r="C13" s="20"/>
      <c r="D13" s="20"/>
      <c r="E13" s="20"/>
      <c r="F13" s="20"/>
      <c r="G13" s="34" t="str">
        <f aca="false">IF(C13="","",IF(F13&lt;&gt;"",(F13-C13)/C13,IF(E13&lt;&gt;"",(E13-C13)/C13,IF(D13&lt;&gt;"",(D13-C13)/C13,""))))</f>
        <v/>
      </c>
      <c r="H13" s="18"/>
    </row>
    <row r="14" customFormat="false" ht="15" hidden="false" customHeight="false" outlineLevel="0" collapsed="false">
      <c r="A14" s="18"/>
      <c r="B14" s="19"/>
      <c r="C14" s="20"/>
      <c r="D14" s="20"/>
      <c r="E14" s="20"/>
      <c r="F14" s="20"/>
      <c r="G14" s="34" t="str">
        <f aca="false">IF(C14="","",IF(F14&lt;&gt;"",(F14-C14)/C14,IF(E14&lt;&gt;"",(E14-C14)/C14,IF(D14&lt;&gt;"",(D14-C14)/C14,""))))</f>
        <v/>
      </c>
      <c r="H14" s="18"/>
    </row>
    <row r="15" customFormat="false" ht="15" hidden="false" customHeight="false" outlineLevel="0" collapsed="false">
      <c r="A15" s="18"/>
      <c r="B15" s="19"/>
      <c r="C15" s="20"/>
      <c r="D15" s="20"/>
      <c r="E15" s="20"/>
      <c r="F15" s="20"/>
      <c r="G15" s="34" t="str">
        <f aca="false">IF(C15="","",IF(F15&lt;&gt;"",(F15-C15)/C15,IF(E15&lt;&gt;"",(E15-C15)/C15,IF(D15&lt;&gt;"",(D15-C15)/C15,""))))</f>
        <v/>
      </c>
      <c r="H15" s="18"/>
    </row>
    <row r="16" customFormat="false" ht="15" hidden="false" customHeight="false" outlineLevel="0" collapsed="false">
      <c r="A16" s="18"/>
      <c r="B16" s="19"/>
      <c r="C16" s="20"/>
      <c r="D16" s="20"/>
      <c r="E16" s="20"/>
      <c r="F16" s="20"/>
      <c r="G16" s="34" t="str">
        <f aca="false">IF(C16="","",IF(F16&lt;&gt;"",(F16-C16)/C16,IF(E16&lt;&gt;"",(E16-C16)/C16,IF(D16&lt;&gt;"",(D16-C16)/C16,""))))</f>
        <v/>
      </c>
      <c r="H16" s="18"/>
    </row>
    <row r="17" customFormat="false" ht="15" hidden="false" customHeight="false" outlineLevel="0" collapsed="false">
      <c r="A17" s="18"/>
      <c r="B17" s="19"/>
      <c r="C17" s="20"/>
      <c r="D17" s="20"/>
      <c r="E17" s="20"/>
      <c r="F17" s="20"/>
      <c r="G17" s="34" t="str">
        <f aca="false">IF(C17="","",IF(F17&lt;&gt;"",(F17-C17)/C17,IF(E17&lt;&gt;"",(E17-C17)/C17,IF(D17&lt;&gt;"",(D17-C17)/C17,""))))</f>
        <v/>
      </c>
      <c r="H17" s="18"/>
    </row>
    <row r="18" customFormat="false" ht="15" hidden="false" customHeight="false" outlineLevel="0" collapsed="false">
      <c r="A18" s="18"/>
      <c r="B18" s="19"/>
      <c r="C18" s="20"/>
      <c r="D18" s="20"/>
      <c r="E18" s="20"/>
      <c r="F18" s="20"/>
      <c r="G18" s="34" t="str">
        <f aca="false">IF(C18="","",IF(F18&lt;&gt;"",(F18-C18)/C18,IF(E18&lt;&gt;"",(E18-C18)/C18,IF(D18&lt;&gt;"",(D18-C18)/C18,""))))</f>
        <v/>
      </c>
      <c r="H18" s="18"/>
    </row>
    <row r="19" customFormat="false" ht="15" hidden="false" customHeight="false" outlineLevel="0" collapsed="false">
      <c r="A19" s="18"/>
      <c r="B19" s="19"/>
      <c r="C19" s="20"/>
      <c r="D19" s="20"/>
      <c r="E19" s="20"/>
      <c r="F19" s="20"/>
      <c r="G19" s="34" t="str">
        <f aca="false">IF(C19="","",IF(F19&lt;&gt;"",(F19-C19)/C19,IF(E19&lt;&gt;"",(E19-C19)/C19,IF(D19&lt;&gt;"",(D19-C19)/C19,""))))</f>
        <v/>
      </c>
      <c r="H19" s="18"/>
    </row>
    <row r="20" customFormat="false" ht="15" hidden="false" customHeight="false" outlineLevel="0" collapsed="false">
      <c r="A20" s="18"/>
      <c r="B20" s="19"/>
      <c r="C20" s="20"/>
      <c r="D20" s="20"/>
      <c r="E20" s="20"/>
      <c r="F20" s="20"/>
      <c r="G20" s="34" t="str">
        <f aca="false">IF(C20="","",IF(F20&lt;&gt;"",(F20-C20)/C20,IF(E20&lt;&gt;"",(E20-C20)/C20,IF(D20&lt;&gt;"",(D20-C20)/C20,""))))</f>
        <v/>
      </c>
      <c r="H20" s="18"/>
    </row>
    <row r="21" customFormat="false" ht="15" hidden="false" customHeight="false" outlineLevel="0" collapsed="false">
      <c r="A21" s="18"/>
      <c r="B21" s="19"/>
      <c r="C21" s="20"/>
      <c r="D21" s="20"/>
      <c r="E21" s="20"/>
      <c r="F21" s="20"/>
      <c r="G21" s="34" t="str">
        <f aca="false">IF(C21="","",IF(F21&lt;&gt;"",(F21-C21)/C21,IF(E21&lt;&gt;"",(E21-C21)/C21,IF(D21&lt;&gt;"",(D21-C21)/C21,""))))</f>
        <v/>
      </c>
      <c r="H21" s="18"/>
    </row>
    <row r="22" customFormat="false" ht="15" hidden="false" customHeight="false" outlineLevel="0" collapsed="false">
      <c r="A22" s="18"/>
      <c r="B22" s="19"/>
      <c r="C22" s="20"/>
      <c r="D22" s="20"/>
      <c r="E22" s="20"/>
      <c r="F22" s="20"/>
      <c r="G22" s="34" t="str">
        <f aca="false">IF(C22="","",IF(F22&lt;&gt;"",(F22-C22)/C22,IF(E22&lt;&gt;"",(E22-C22)/C22,IF(D22&lt;&gt;"",(D22-C22)/C22,""))))</f>
        <v/>
      </c>
      <c r="H22" s="18"/>
    </row>
    <row r="23" customFormat="false" ht="15" hidden="false" customHeight="false" outlineLevel="0" collapsed="false">
      <c r="A23" s="18"/>
      <c r="B23" s="19"/>
      <c r="C23" s="20"/>
      <c r="D23" s="20"/>
      <c r="E23" s="20"/>
      <c r="F23" s="20"/>
      <c r="G23" s="34" t="str">
        <f aca="false">IF(C23="","",IF(F23&lt;&gt;"",(F23-C23)/C23,IF(E23&lt;&gt;"",(E23-C23)/C23,IF(D23&lt;&gt;"",(D23-C23)/C23,""))))</f>
        <v/>
      </c>
      <c r="H23" s="18"/>
    </row>
    <row r="24" customFormat="false" ht="15" hidden="false" customHeight="false" outlineLevel="0" collapsed="false">
      <c r="A24" s="18"/>
      <c r="B24" s="19"/>
      <c r="C24" s="20"/>
      <c r="D24" s="20"/>
      <c r="E24" s="20"/>
      <c r="F24" s="20"/>
      <c r="G24" s="34" t="str">
        <f aca="false">IF(C24="","",IF(F24&lt;&gt;"",(F24-C24)/C24,IF(E24&lt;&gt;"",(E24-C24)/C24,IF(D24&lt;&gt;"",(D24-C24)/C24,""))))</f>
        <v/>
      </c>
      <c r="H24" s="18"/>
    </row>
    <row r="25" customFormat="false" ht="15" hidden="false" customHeight="false" outlineLevel="0" collapsed="false">
      <c r="A25" s="18"/>
      <c r="B25" s="19"/>
      <c r="C25" s="20"/>
      <c r="D25" s="20"/>
      <c r="E25" s="20"/>
      <c r="F25" s="20"/>
      <c r="G25" s="34" t="str">
        <f aca="false">IF(C25="","",IF(F25&lt;&gt;"",(F25-C25)/C25,IF(E25&lt;&gt;"",(E25-C25)/C25,IF(D25&lt;&gt;"",(D25-C25)/C25,""))))</f>
        <v/>
      </c>
      <c r="H25" s="18"/>
    </row>
  </sheetData>
  <mergeCells count="2">
    <mergeCell ref="A1:H1"/>
    <mergeCell ref="A2:H2"/>
  </mergeCells>
  <conditionalFormatting sqref="G6:G25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10"/>
    <col collapsed="false" customWidth="true" hidden="false" outlineLevel="0" max="7" min="6" style="0" width="15"/>
    <col collapsed="false" customWidth="true" hidden="false" outlineLevel="0" max="8" min="8" style="0" width="26"/>
  </cols>
  <sheetData>
    <row r="1" customFormat="false" ht="27.75" hidden="false" customHeight="true" outlineLevel="0" collapsed="false">
      <c r="A1" s="1" t="s">
        <v>78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79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1" t="s">
        <v>80</v>
      </c>
      <c r="B4" s="11"/>
      <c r="C4" s="11" t="s">
        <v>81</v>
      </c>
      <c r="D4" s="11"/>
    </row>
    <row r="5" customFormat="false" ht="21.75" hidden="false" customHeight="true" outlineLevel="0" collapsed="false">
      <c r="A5" s="12" t="n">
        <f aca="false">SUM(G7:G206)</f>
        <v>206</v>
      </c>
      <c r="B5" s="12"/>
      <c r="C5" s="35" t="n">
        <f aca="false">SUM(E7:E206)</f>
        <v>122</v>
      </c>
      <c r="D5" s="35"/>
    </row>
    <row r="6" customFormat="false" ht="25.5" hidden="false" customHeight="true" outlineLevel="0" collapsed="false">
      <c r="A6" s="16" t="s">
        <v>22</v>
      </c>
      <c r="B6" s="16" t="s">
        <v>21</v>
      </c>
      <c r="C6" s="16" t="s">
        <v>82</v>
      </c>
      <c r="D6" s="16" t="s">
        <v>83</v>
      </c>
      <c r="E6" s="16" t="s">
        <v>84</v>
      </c>
      <c r="F6" s="16" t="s">
        <v>85</v>
      </c>
      <c r="G6" s="16" t="s">
        <v>86</v>
      </c>
      <c r="H6" s="16" t="s">
        <v>66</v>
      </c>
    </row>
    <row r="7" customFormat="false" ht="15" hidden="false" customHeight="false" outlineLevel="0" collapsed="false">
      <c r="A7" s="18" t="s">
        <v>29</v>
      </c>
      <c r="B7" s="17" t="n">
        <v>46011</v>
      </c>
      <c r="C7" s="18" t="s">
        <v>87</v>
      </c>
      <c r="D7" s="18" t="s">
        <v>69</v>
      </c>
      <c r="E7" s="36" t="n">
        <v>100</v>
      </c>
      <c r="F7" s="20" t="n">
        <v>0.5</v>
      </c>
      <c r="G7" s="21" t="n">
        <f aca="false">IF(OR(E7="",F7=""),"",E7*F7)</f>
        <v>50</v>
      </c>
      <c r="H7" s="18"/>
    </row>
    <row r="8" customFormat="false" ht="15" hidden="false" customHeight="false" outlineLevel="0" collapsed="false">
      <c r="A8" s="18" t="s">
        <v>29</v>
      </c>
      <c r="B8" s="17" t="n">
        <v>46011</v>
      </c>
      <c r="C8" s="18" t="s">
        <v>87</v>
      </c>
      <c r="D8" s="18" t="s">
        <v>67</v>
      </c>
      <c r="E8" s="36" t="n">
        <v>2</v>
      </c>
      <c r="F8" s="20" t="n">
        <v>18</v>
      </c>
      <c r="G8" s="21" t="n">
        <f aca="false">IF(OR(E8="",F8=""),"",E8*F8)</f>
        <v>36</v>
      </c>
      <c r="H8" s="18"/>
    </row>
    <row r="9" customFormat="false" ht="15" hidden="false" customHeight="false" outlineLevel="0" collapsed="false">
      <c r="A9" s="18" t="s">
        <v>29</v>
      </c>
      <c r="B9" s="17" t="n">
        <v>46011</v>
      </c>
      <c r="C9" s="18" t="s">
        <v>87</v>
      </c>
      <c r="D9" s="18" t="s">
        <v>72</v>
      </c>
      <c r="E9" s="36" t="n">
        <v>20</v>
      </c>
      <c r="F9" s="20" t="n">
        <v>6</v>
      </c>
      <c r="G9" s="21" t="n">
        <f aca="false">IF(OR(E9="",F9=""),"",E9*F9)</f>
        <v>120</v>
      </c>
      <c r="H9" s="18"/>
    </row>
    <row r="10" customFormat="false" ht="15" hidden="false" customHeight="false" outlineLevel="0" collapsed="false">
      <c r="A10" s="18"/>
      <c r="B10" s="17"/>
      <c r="C10" s="18"/>
      <c r="D10" s="18"/>
      <c r="E10" s="36"/>
      <c r="F10" s="20"/>
      <c r="G10" s="21" t="str">
        <f aca="false">IF(OR(E10="",F10=""),"",E10*F10)</f>
        <v/>
      </c>
      <c r="H10" s="18"/>
    </row>
    <row r="11" customFormat="false" ht="15" hidden="false" customHeight="false" outlineLevel="0" collapsed="false">
      <c r="A11" s="18"/>
      <c r="B11" s="17"/>
      <c r="C11" s="18"/>
      <c r="D11" s="18"/>
      <c r="E11" s="36"/>
      <c r="F11" s="20"/>
      <c r="G11" s="21" t="str">
        <f aca="false">IF(OR(E11="",F11=""),"",E11*F11)</f>
        <v/>
      </c>
      <c r="H11" s="18"/>
    </row>
    <row r="12" customFormat="false" ht="15" hidden="false" customHeight="false" outlineLevel="0" collapsed="false">
      <c r="A12" s="18"/>
      <c r="B12" s="17"/>
      <c r="C12" s="18"/>
      <c r="D12" s="18"/>
      <c r="E12" s="36"/>
      <c r="F12" s="20"/>
      <c r="G12" s="21" t="str">
        <f aca="false">IF(OR(E12="",F12=""),"",E12*F12)</f>
        <v/>
      </c>
      <c r="H12" s="18"/>
    </row>
    <row r="13" customFormat="false" ht="15" hidden="false" customHeight="false" outlineLevel="0" collapsed="false">
      <c r="A13" s="18"/>
      <c r="B13" s="17"/>
      <c r="C13" s="18"/>
      <c r="D13" s="18"/>
      <c r="E13" s="36"/>
      <c r="F13" s="20"/>
      <c r="G13" s="21" t="str">
        <f aca="false">IF(OR(E13="",F13=""),"",E13*F13)</f>
        <v/>
      </c>
      <c r="H13" s="18"/>
    </row>
    <row r="14" customFormat="false" ht="15" hidden="false" customHeight="false" outlineLevel="0" collapsed="false">
      <c r="A14" s="18"/>
      <c r="B14" s="17"/>
      <c r="C14" s="18"/>
      <c r="D14" s="18"/>
      <c r="E14" s="36"/>
      <c r="F14" s="20"/>
      <c r="G14" s="21" t="str">
        <f aca="false">IF(OR(E14="",F14=""),"",E14*F14)</f>
        <v/>
      </c>
      <c r="H14" s="18"/>
    </row>
    <row r="15" customFormat="false" ht="15" hidden="false" customHeight="false" outlineLevel="0" collapsed="false">
      <c r="A15" s="18"/>
      <c r="B15" s="17"/>
      <c r="C15" s="18"/>
      <c r="D15" s="18"/>
      <c r="E15" s="36"/>
      <c r="F15" s="20"/>
      <c r="G15" s="21" t="str">
        <f aca="false">IF(OR(E15="",F15=""),"",E15*F15)</f>
        <v/>
      </c>
      <c r="H15" s="18"/>
    </row>
    <row r="16" customFormat="false" ht="15" hidden="false" customHeight="false" outlineLevel="0" collapsed="false">
      <c r="A16" s="18"/>
      <c r="B16" s="17"/>
      <c r="C16" s="18"/>
      <c r="D16" s="18"/>
      <c r="E16" s="36"/>
      <c r="F16" s="20"/>
      <c r="G16" s="21" t="str">
        <f aca="false">IF(OR(E16="",F16=""),"",E16*F16)</f>
        <v/>
      </c>
      <c r="H16" s="18"/>
    </row>
    <row r="17" customFormat="false" ht="15" hidden="false" customHeight="false" outlineLevel="0" collapsed="false">
      <c r="A17" s="18"/>
      <c r="B17" s="17"/>
      <c r="C17" s="18"/>
      <c r="D17" s="18"/>
      <c r="E17" s="36"/>
      <c r="F17" s="20"/>
      <c r="G17" s="21" t="str">
        <f aca="false">IF(OR(E17="",F17=""),"",E17*F17)</f>
        <v/>
      </c>
      <c r="H17" s="18"/>
    </row>
    <row r="18" customFormat="false" ht="15" hidden="false" customHeight="false" outlineLevel="0" collapsed="false">
      <c r="A18" s="18"/>
      <c r="B18" s="17"/>
      <c r="C18" s="18"/>
      <c r="D18" s="18"/>
      <c r="E18" s="36"/>
      <c r="F18" s="20"/>
      <c r="G18" s="21" t="str">
        <f aca="false">IF(OR(E18="",F18=""),"",E18*F18)</f>
        <v/>
      </c>
      <c r="H18" s="18"/>
    </row>
    <row r="19" customFormat="false" ht="15" hidden="false" customHeight="false" outlineLevel="0" collapsed="false">
      <c r="A19" s="18"/>
      <c r="B19" s="17"/>
      <c r="C19" s="18"/>
      <c r="D19" s="18"/>
      <c r="E19" s="36"/>
      <c r="F19" s="20"/>
      <c r="G19" s="21" t="str">
        <f aca="false">IF(OR(E19="",F19=""),"",E19*F19)</f>
        <v/>
      </c>
      <c r="H19" s="18"/>
    </row>
    <row r="20" customFormat="false" ht="15" hidden="false" customHeight="false" outlineLevel="0" collapsed="false">
      <c r="A20" s="18"/>
      <c r="B20" s="17"/>
      <c r="C20" s="18"/>
      <c r="D20" s="18"/>
      <c r="E20" s="36"/>
      <c r="F20" s="20"/>
      <c r="G20" s="21" t="str">
        <f aca="false">IF(OR(E20="",F20=""),"",E20*F20)</f>
        <v/>
      </c>
      <c r="H20" s="18"/>
    </row>
    <row r="21" customFormat="false" ht="15" hidden="false" customHeight="false" outlineLevel="0" collapsed="false">
      <c r="A21" s="18"/>
      <c r="B21" s="17"/>
      <c r="C21" s="18"/>
      <c r="D21" s="18"/>
      <c r="E21" s="36"/>
      <c r="F21" s="20"/>
      <c r="G21" s="21" t="str">
        <f aca="false">IF(OR(E21="",F21=""),"",E21*F21)</f>
        <v/>
      </c>
      <c r="H21" s="18"/>
    </row>
    <row r="22" customFormat="false" ht="15" hidden="false" customHeight="false" outlineLevel="0" collapsed="false">
      <c r="A22" s="18"/>
      <c r="B22" s="17"/>
      <c r="C22" s="18"/>
      <c r="D22" s="18"/>
      <c r="E22" s="36"/>
      <c r="F22" s="20"/>
      <c r="G22" s="21" t="str">
        <f aca="false">IF(OR(E22="",F22=""),"",E22*F22)</f>
        <v/>
      </c>
      <c r="H22" s="18"/>
    </row>
    <row r="23" customFormat="false" ht="15" hidden="false" customHeight="false" outlineLevel="0" collapsed="false">
      <c r="A23" s="18"/>
      <c r="B23" s="17"/>
      <c r="C23" s="18"/>
      <c r="D23" s="18"/>
      <c r="E23" s="36"/>
      <c r="F23" s="20"/>
      <c r="G23" s="21" t="str">
        <f aca="false">IF(OR(E23="",F23=""),"",E23*F23)</f>
        <v/>
      </c>
      <c r="H23" s="18"/>
    </row>
    <row r="24" customFormat="false" ht="15" hidden="false" customHeight="false" outlineLevel="0" collapsed="false">
      <c r="A24" s="18"/>
      <c r="B24" s="17"/>
      <c r="C24" s="18"/>
      <c r="D24" s="18"/>
      <c r="E24" s="36"/>
      <c r="F24" s="20"/>
      <c r="G24" s="21" t="str">
        <f aca="false">IF(OR(E24="",F24=""),"",E24*F24)</f>
        <v/>
      </c>
      <c r="H24" s="18"/>
    </row>
    <row r="25" customFormat="false" ht="15" hidden="false" customHeight="false" outlineLevel="0" collapsed="false">
      <c r="A25" s="18"/>
      <c r="B25" s="17"/>
      <c r="C25" s="18"/>
      <c r="D25" s="18"/>
      <c r="E25" s="36"/>
      <c r="F25" s="20"/>
      <c r="G25" s="21" t="str">
        <f aca="false">IF(OR(E25="",F25=""),"",E25*F25)</f>
        <v/>
      </c>
      <c r="H25" s="18"/>
    </row>
    <row r="26" customFormat="false" ht="15" hidden="false" customHeight="false" outlineLevel="0" collapsed="false">
      <c r="A26" s="18"/>
      <c r="B26" s="17"/>
      <c r="C26" s="18"/>
      <c r="D26" s="18"/>
      <c r="E26" s="36"/>
      <c r="F26" s="20"/>
      <c r="G26" s="21" t="str">
        <f aca="false">IF(OR(E26="",F26=""),"",E26*F26)</f>
        <v/>
      </c>
      <c r="H26" s="18"/>
    </row>
    <row r="27" customFormat="false" ht="15" hidden="false" customHeight="false" outlineLevel="0" collapsed="false">
      <c r="A27" s="18"/>
      <c r="B27" s="17"/>
      <c r="C27" s="18"/>
      <c r="D27" s="18"/>
      <c r="E27" s="36"/>
      <c r="F27" s="20"/>
      <c r="G27" s="21" t="str">
        <f aca="false">IF(OR(E27="",F27=""),"",E27*F27)</f>
        <v/>
      </c>
      <c r="H27" s="18"/>
    </row>
    <row r="28" customFormat="false" ht="15" hidden="false" customHeight="false" outlineLevel="0" collapsed="false">
      <c r="A28" s="18"/>
      <c r="B28" s="17"/>
      <c r="C28" s="18"/>
      <c r="D28" s="18"/>
      <c r="E28" s="36"/>
      <c r="F28" s="20"/>
      <c r="G28" s="21" t="str">
        <f aca="false">IF(OR(E28="",F28=""),"",E28*F28)</f>
        <v/>
      </c>
      <c r="H28" s="18"/>
    </row>
    <row r="29" customFormat="false" ht="15" hidden="false" customHeight="false" outlineLevel="0" collapsed="false">
      <c r="A29" s="18"/>
      <c r="B29" s="17"/>
      <c r="C29" s="18"/>
      <c r="D29" s="18"/>
      <c r="E29" s="36"/>
      <c r="F29" s="20"/>
      <c r="G29" s="21" t="str">
        <f aca="false">IF(OR(E29="",F29=""),"",E29*F29)</f>
        <v/>
      </c>
      <c r="H29" s="18"/>
    </row>
    <row r="30" customFormat="false" ht="15" hidden="false" customHeight="false" outlineLevel="0" collapsed="false">
      <c r="A30" s="18"/>
      <c r="B30" s="17"/>
      <c r="C30" s="18"/>
      <c r="D30" s="18"/>
      <c r="E30" s="36"/>
      <c r="F30" s="20"/>
      <c r="G30" s="21" t="str">
        <f aca="false">IF(OR(E30="",F30=""),"",E30*F30)</f>
        <v/>
      </c>
      <c r="H30" s="18"/>
    </row>
    <row r="31" customFormat="false" ht="15" hidden="false" customHeight="false" outlineLevel="0" collapsed="false">
      <c r="A31" s="18"/>
      <c r="B31" s="17"/>
      <c r="C31" s="18"/>
      <c r="D31" s="18"/>
      <c r="E31" s="36"/>
      <c r="F31" s="20"/>
      <c r="G31" s="21" t="str">
        <f aca="false">IF(OR(E31="",F31=""),"",E31*F31)</f>
        <v/>
      </c>
      <c r="H31" s="18"/>
    </row>
    <row r="32" customFormat="false" ht="15" hidden="false" customHeight="false" outlineLevel="0" collapsed="false">
      <c r="A32" s="18"/>
      <c r="B32" s="17"/>
      <c r="C32" s="18"/>
      <c r="D32" s="18"/>
      <c r="E32" s="36"/>
      <c r="F32" s="20"/>
      <c r="G32" s="21" t="str">
        <f aca="false">IF(OR(E32="",F32=""),"",E32*F32)</f>
        <v/>
      </c>
      <c r="H32" s="18"/>
    </row>
    <row r="33" customFormat="false" ht="15" hidden="false" customHeight="false" outlineLevel="0" collapsed="false">
      <c r="A33" s="18"/>
      <c r="B33" s="17"/>
      <c r="C33" s="18"/>
      <c r="D33" s="18"/>
      <c r="E33" s="36"/>
      <c r="F33" s="20"/>
      <c r="G33" s="21" t="str">
        <f aca="false">IF(OR(E33="",F33=""),"",E33*F33)</f>
        <v/>
      </c>
      <c r="H33" s="18"/>
    </row>
    <row r="34" customFormat="false" ht="15" hidden="false" customHeight="false" outlineLevel="0" collapsed="false">
      <c r="A34" s="18"/>
      <c r="B34" s="17"/>
      <c r="C34" s="18"/>
      <c r="D34" s="18"/>
      <c r="E34" s="36"/>
      <c r="F34" s="20"/>
      <c r="G34" s="21" t="str">
        <f aca="false">IF(OR(E34="",F34=""),"",E34*F34)</f>
        <v/>
      </c>
      <c r="H34" s="18"/>
    </row>
    <row r="35" customFormat="false" ht="15" hidden="false" customHeight="false" outlineLevel="0" collapsed="false">
      <c r="A35" s="18"/>
      <c r="B35" s="17"/>
      <c r="C35" s="18"/>
      <c r="D35" s="18"/>
      <c r="E35" s="36"/>
      <c r="F35" s="20"/>
      <c r="G35" s="21" t="str">
        <f aca="false">IF(OR(E35="",F35=""),"",E35*F35)</f>
        <v/>
      </c>
      <c r="H35" s="18"/>
    </row>
    <row r="36" customFormat="false" ht="15" hidden="false" customHeight="false" outlineLevel="0" collapsed="false">
      <c r="A36" s="18"/>
      <c r="B36" s="17"/>
      <c r="C36" s="18"/>
      <c r="D36" s="18"/>
      <c r="E36" s="36"/>
      <c r="F36" s="20"/>
      <c r="G36" s="21" t="str">
        <f aca="false">IF(OR(E36="",F36=""),"",E36*F36)</f>
        <v/>
      </c>
      <c r="H36" s="18"/>
    </row>
    <row r="37" customFormat="false" ht="15" hidden="false" customHeight="false" outlineLevel="0" collapsed="false">
      <c r="A37" s="18"/>
      <c r="B37" s="17"/>
      <c r="C37" s="18"/>
      <c r="D37" s="18"/>
      <c r="E37" s="36"/>
      <c r="F37" s="20"/>
      <c r="G37" s="21" t="str">
        <f aca="false">IF(OR(E37="",F37=""),"",E37*F37)</f>
        <v/>
      </c>
      <c r="H37" s="18"/>
    </row>
    <row r="38" customFormat="false" ht="15" hidden="false" customHeight="false" outlineLevel="0" collapsed="false">
      <c r="A38" s="18"/>
      <c r="B38" s="17"/>
      <c r="C38" s="18"/>
      <c r="D38" s="18"/>
      <c r="E38" s="36"/>
      <c r="F38" s="20"/>
      <c r="G38" s="21" t="str">
        <f aca="false">IF(OR(E38="",F38=""),"",E38*F38)</f>
        <v/>
      </c>
      <c r="H38" s="18"/>
    </row>
    <row r="39" customFormat="false" ht="15" hidden="false" customHeight="false" outlineLevel="0" collapsed="false">
      <c r="A39" s="18"/>
      <c r="B39" s="17"/>
      <c r="C39" s="18"/>
      <c r="D39" s="18"/>
      <c r="E39" s="36"/>
      <c r="F39" s="20"/>
      <c r="G39" s="21" t="str">
        <f aca="false">IF(OR(E39="",F39=""),"",E39*F39)</f>
        <v/>
      </c>
      <c r="H39" s="18"/>
    </row>
    <row r="40" customFormat="false" ht="15" hidden="false" customHeight="false" outlineLevel="0" collapsed="false">
      <c r="A40" s="18"/>
      <c r="B40" s="17"/>
      <c r="C40" s="18"/>
      <c r="D40" s="18"/>
      <c r="E40" s="36"/>
      <c r="F40" s="20"/>
      <c r="G40" s="21" t="str">
        <f aca="false">IF(OR(E40="",F40=""),"",E40*F40)</f>
        <v/>
      </c>
      <c r="H40" s="18"/>
    </row>
    <row r="41" customFormat="false" ht="15" hidden="false" customHeight="false" outlineLevel="0" collapsed="false">
      <c r="A41" s="18"/>
      <c r="B41" s="17"/>
      <c r="C41" s="18"/>
      <c r="D41" s="18"/>
      <c r="E41" s="36"/>
      <c r="F41" s="20"/>
      <c r="G41" s="21" t="str">
        <f aca="false">IF(OR(E41="",F41=""),"",E41*F41)</f>
        <v/>
      </c>
      <c r="H41" s="18"/>
    </row>
    <row r="42" customFormat="false" ht="15" hidden="false" customHeight="false" outlineLevel="0" collapsed="false">
      <c r="A42" s="18"/>
      <c r="B42" s="17"/>
      <c r="C42" s="18"/>
      <c r="D42" s="18"/>
      <c r="E42" s="36"/>
      <c r="F42" s="20"/>
      <c r="G42" s="21" t="str">
        <f aca="false">IF(OR(E42="",F42=""),"",E42*F42)</f>
        <v/>
      </c>
      <c r="H42" s="18"/>
    </row>
    <row r="43" customFormat="false" ht="15" hidden="false" customHeight="false" outlineLevel="0" collapsed="false">
      <c r="A43" s="18"/>
      <c r="B43" s="17"/>
      <c r="C43" s="18"/>
      <c r="D43" s="18"/>
      <c r="E43" s="36"/>
      <c r="F43" s="20"/>
      <c r="G43" s="21" t="str">
        <f aca="false">IF(OR(E43="",F43=""),"",E43*F43)</f>
        <v/>
      </c>
      <c r="H43" s="18"/>
    </row>
    <row r="44" customFormat="false" ht="15" hidden="false" customHeight="false" outlineLevel="0" collapsed="false">
      <c r="A44" s="18"/>
      <c r="B44" s="17"/>
      <c r="C44" s="18"/>
      <c r="D44" s="18"/>
      <c r="E44" s="36"/>
      <c r="F44" s="20"/>
      <c r="G44" s="21" t="str">
        <f aca="false">IF(OR(E44="",F44=""),"",E44*F44)</f>
        <v/>
      </c>
      <c r="H44" s="18"/>
    </row>
    <row r="45" customFormat="false" ht="15" hidden="false" customHeight="false" outlineLevel="0" collapsed="false">
      <c r="A45" s="18"/>
      <c r="B45" s="17"/>
      <c r="C45" s="18"/>
      <c r="D45" s="18"/>
      <c r="E45" s="36"/>
      <c r="F45" s="20"/>
      <c r="G45" s="21" t="str">
        <f aca="false">IF(OR(E45="",F45=""),"",E45*F45)</f>
        <v/>
      </c>
      <c r="H45" s="18"/>
    </row>
    <row r="46" customFormat="false" ht="15" hidden="false" customHeight="false" outlineLevel="0" collapsed="false">
      <c r="A46" s="18"/>
      <c r="B46" s="17"/>
      <c r="C46" s="18"/>
      <c r="D46" s="18"/>
      <c r="E46" s="36"/>
      <c r="F46" s="20"/>
      <c r="G46" s="21" t="str">
        <f aca="false">IF(OR(E46="",F46=""),"",E46*F46)</f>
        <v/>
      </c>
      <c r="H46" s="18"/>
    </row>
    <row r="47" customFormat="false" ht="15" hidden="false" customHeight="false" outlineLevel="0" collapsed="false">
      <c r="A47" s="18"/>
      <c r="B47" s="17"/>
      <c r="C47" s="18"/>
      <c r="D47" s="18"/>
      <c r="E47" s="36"/>
      <c r="F47" s="20"/>
      <c r="G47" s="21" t="str">
        <f aca="false">IF(OR(E47="",F47=""),"",E47*F47)</f>
        <v/>
      </c>
      <c r="H47" s="18"/>
    </row>
    <row r="48" customFormat="false" ht="15" hidden="false" customHeight="false" outlineLevel="0" collapsed="false">
      <c r="A48" s="18"/>
      <c r="B48" s="17"/>
      <c r="C48" s="18"/>
      <c r="D48" s="18"/>
      <c r="E48" s="36"/>
      <c r="F48" s="20"/>
      <c r="G48" s="21" t="str">
        <f aca="false">IF(OR(E48="",F48=""),"",E48*F48)</f>
        <v/>
      </c>
      <c r="H48" s="18"/>
    </row>
    <row r="49" customFormat="false" ht="15" hidden="false" customHeight="false" outlineLevel="0" collapsed="false">
      <c r="A49" s="18"/>
      <c r="B49" s="17"/>
      <c r="C49" s="18"/>
      <c r="D49" s="18"/>
      <c r="E49" s="36"/>
      <c r="F49" s="20"/>
      <c r="G49" s="21" t="str">
        <f aca="false">IF(OR(E49="",F49=""),"",E49*F49)</f>
        <v/>
      </c>
      <c r="H49" s="18"/>
    </row>
    <row r="50" customFormat="false" ht="15" hidden="false" customHeight="false" outlineLevel="0" collapsed="false">
      <c r="A50" s="18"/>
      <c r="B50" s="17"/>
      <c r="C50" s="18"/>
      <c r="D50" s="18"/>
      <c r="E50" s="36"/>
      <c r="F50" s="20"/>
      <c r="G50" s="21" t="str">
        <f aca="false">IF(OR(E50="",F50=""),"",E50*F50)</f>
        <v/>
      </c>
      <c r="H50" s="18"/>
    </row>
    <row r="51" customFormat="false" ht="15" hidden="false" customHeight="false" outlineLevel="0" collapsed="false">
      <c r="A51" s="18"/>
      <c r="B51" s="17"/>
      <c r="C51" s="18"/>
      <c r="D51" s="18"/>
      <c r="E51" s="36"/>
      <c r="F51" s="20"/>
      <c r="G51" s="21" t="str">
        <f aca="false">IF(OR(E51="",F51=""),"",E51*F51)</f>
        <v/>
      </c>
      <c r="H51" s="18"/>
    </row>
    <row r="52" customFormat="false" ht="15" hidden="false" customHeight="false" outlineLevel="0" collapsed="false">
      <c r="A52" s="18"/>
      <c r="B52" s="17"/>
      <c r="C52" s="18"/>
      <c r="D52" s="18"/>
      <c r="E52" s="36"/>
      <c r="F52" s="20"/>
      <c r="G52" s="21" t="str">
        <f aca="false">IF(OR(E52="",F52=""),"",E52*F52)</f>
        <v/>
      </c>
      <c r="H52" s="18"/>
    </row>
    <row r="53" customFormat="false" ht="15" hidden="false" customHeight="false" outlineLevel="0" collapsed="false">
      <c r="A53" s="18"/>
      <c r="B53" s="17"/>
      <c r="C53" s="18"/>
      <c r="D53" s="18"/>
      <c r="E53" s="36"/>
      <c r="F53" s="20"/>
      <c r="G53" s="21" t="str">
        <f aca="false">IF(OR(E53="",F53=""),"",E53*F53)</f>
        <v/>
      </c>
      <c r="H53" s="18"/>
    </row>
    <row r="54" customFormat="false" ht="15" hidden="false" customHeight="false" outlineLevel="0" collapsed="false">
      <c r="A54" s="18"/>
      <c r="B54" s="17"/>
      <c r="C54" s="18"/>
      <c r="D54" s="18"/>
      <c r="E54" s="36"/>
      <c r="F54" s="20"/>
      <c r="G54" s="21" t="str">
        <f aca="false">IF(OR(E54="",F54=""),"",E54*F54)</f>
        <v/>
      </c>
      <c r="H54" s="18"/>
    </row>
    <row r="55" customFormat="false" ht="15" hidden="false" customHeight="false" outlineLevel="0" collapsed="false">
      <c r="A55" s="18"/>
      <c r="B55" s="17"/>
      <c r="C55" s="18"/>
      <c r="D55" s="18"/>
      <c r="E55" s="36"/>
      <c r="F55" s="20"/>
      <c r="G55" s="21" t="str">
        <f aca="false">IF(OR(E55="",F55=""),"",E55*F55)</f>
        <v/>
      </c>
      <c r="H55" s="18"/>
    </row>
    <row r="56" customFormat="false" ht="15" hidden="false" customHeight="false" outlineLevel="0" collapsed="false">
      <c r="A56" s="18"/>
      <c r="B56" s="17"/>
      <c r="C56" s="18"/>
      <c r="D56" s="18"/>
      <c r="E56" s="36"/>
      <c r="F56" s="20"/>
      <c r="G56" s="21" t="str">
        <f aca="false">IF(OR(E56="",F56=""),"",E56*F56)</f>
        <v/>
      </c>
      <c r="H56" s="18"/>
    </row>
    <row r="57" customFormat="false" ht="15" hidden="false" customHeight="false" outlineLevel="0" collapsed="false">
      <c r="A57" s="18"/>
      <c r="B57" s="17"/>
      <c r="C57" s="18"/>
      <c r="D57" s="18"/>
      <c r="E57" s="36"/>
      <c r="F57" s="20"/>
      <c r="G57" s="21" t="str">
        <f aca="false">IF(OR(E57="",F57=""),"",E57*F57)</f>
        <v/>
      </c>
      <c r="H57" s="18"/>
    </row>
    <row r="58" customFormat="false" ht="15" hidden="false" customHeight="false" outlineLevel="0" collapsed="false">
      <c r="A58" s="18"/>
      <c r="B58" s="17"/>
      <c r="C58" s="18"/>
      <c r="D58" s="18"/>
      <c r="E58" s="36"/>
      <c r="F58" s="20"/>
      <c r="G58" s="21" t="str">
        <f aca="false">IF(OR(E58="",F58=""),"",E58*F58)</f>
        <v/>
      </c>
      <c r="H58" s="18"/>
    </row>
    <row r="59" customFormat="false" ht="15" hidden="false" customHeight="false" outlineLevel="0" collapsed="false">
      <c r="A59" s="18"/>
      <c r="B59" s="17"/>
      <c r="C59" s="18"/>
      <c r="D59" s="18"/>
      <c r="E59" s="36"/>
      <c r="F59" s="20"/>
      <c r="G59" s="21" t="str">
        <f aca="false">IF(OR(E59="",F59=""),"",E59*F59)</f>
        <v/>
      </c>
      <c r="H59" s="18"/>
    </row>
    <row r="60" customFormat="false" ht="15" hidden="false" customHeight="false" outlineLevel="0" collapsed="false">
      <c r="A60" s="18"/>
      <c r="B60" s="17"/>
      <c r="C60" s="18"/>
      <c r="D60" s="18"/>
      <c r="E60" s="36"/>
      <c r="F60" s="20"/>
      <c r="G60" s="21" t="str">
        <f aca="false">IF(OR(E60="",F60=""),"",E60*F60)</f>
        <v/>
      </c>
      <c r="H60" s="18"/>
    </row>
    <row r="61" customFormat="false" ht="15" hidden="false" customHeight="false" outlineLevel="0" collapsed="false">
      <c r="A61" s="18"/>
      <c r="B61" s="17"/>
      <c r="C61" s="18"/>
      <c r="D61" s="18"/>
      <c r="E61" s="36"/>
      <c r="F61" s="20"/>
      <c r="G61" s="21" t="str">
        <f aca="false">IF(OR(E61="",F61=""),"",E61*F61)</f>
        <v/>
      </c>
      <c r="H61" s="18"/>
    </row>
    <row r="62" customFormat="false" ht="15" hidden="false" customHeight="false" outlineLevel="0" collapsed="false">
      <c r="A62" s="18"/>
      <c r="B62" s="17"/>
      <c r="C62" s="18"/>
      <c r="D62" s="18"/>
      <c r="E62" s="36"/>
      <c r="F62" s="20"/>
      <c r="G62" s="21" t="str">
        <f aca="false">IF(OR(E62="",F62=""),"",E62*F62)</f>
        <v/>
      </c>
      <c r="H62" s="18"/>
    </row>
    <row r="63" customFormat="false" ht="15" hidden="false" customHeight="false" outlineLevel="0" collapsed="false">
      <c r="A63" s="18"/>
      <c r="B63" s="17"/>
      <c r="C63" s="18"/>
      <c r="D63" s="18"/>
      <c r="E63" s="36"/>
      <c r="F63" s="20"/>
      <c r="G63" s="21" t="str">
        <f aca="false">IF(OR(E63="",F63=""),"",E63*F63)</f>
        <v/>
      </c>
      <c r="H63" s="18"/>
    </row>
    <row r="64" customFormat="false" ht="15" hidden="false" customHeight="false" outlineLevel="0" collapsed="false">
      <c r="A64" s="18"/>
      <c r="B64" s="17"/>
      <c r="C64" s="18"/>
      <c r="D64" s="18"/>
      <c r="E64" s="36"/>
      <c r="F64" s="20"/>
      <c r="G64" s="21" t="str">
        <f aca="false">IF(OR(E64="",F64=""),"",E64*F64)</f>
        <v/>
      </c>
      <c r="H64" s="18"/>
    </row>
    <row r="65" customFormat="false" ht="15" hidden="false" customHeight="false" outlineLevel="0" collapsed="false">
      <c r="A65" s="18"/>
      <c r="B65" s="17"/>
      <c r="C65" s="18"/>
      <c r="D65" s="18"/>
      <c r="E65" s="36"/>
      <c r="F65" s="20"/>
      <c r="G65" s="21" t="str">
        <f aca="false">IF(OR(E65="",F65=""),"",E65*F65)</f>
        <v/>
      </c>
      <c r="H65" s="18"/>
    </row>
    <row r="66" customFormat="false" ht="15" hidden="false" customHeight="false" outlineLevel="0" collapsed="false">
      <c r="A66" s="18"/>
      <c r="B66" s="17"/>
      <c r="C66" s="18"/>
      <c r="D66" s="18"/>
      <c r="E66" s="36"/>
      <c r="F66" s="20"/>
      <c r="G66" s="21" t="str">
        <f aca="false">IF(OR(E66="",F66=""),"",E66*F66)</f>
        <v/>
      </c>
      <c r="H66" s="18"/>
    </row>
    <row r="67" customFormat="false" ht="15" hidden="false" customHeight="false" outlineLevel="0" collapsed="false">
      <c r="A67" s="18"/>
      <c r="B67" s="17"/>
      <c r="C67" s="18"/>
      <c r="D67" s="18"/>
      <c r="E67" s="36"/>
      <c r="F67" s="20"/>
      <c r="G67" s="21" t="str">
        <f aca="false">IF(OR(E67="",F67=""),"",E67*F67)</f>
        <v/>
      </c>
      <c r="H67" s="18"/>
    </row>
    <row r="68" customFormat="false" ht="15" hidden="false" customHeight="false" outlineLevel="0" collapsed="false">
      <c r="A68" s="18"/>
      <c r="B68" s="17"/>
      <c r="C68" s="18"/>
      <c r="D68" s="18"/>
      <c r="E68" s="36"/>
      <c r="F68" s="20"/>
      <c r="G68" s="21" t="str">
        <f aca="false">IF(OR(E68="",F68=""),"",E68*F68)</f>
        <v/>
      </c>
      <c r="H68" s="18"/>
    </row>
    <row r="69" customFormat="false" ht="15" hidden="false" customHeight="false" outlineLevel="0" collapsed="false">
      <c r="A69" s="18"/>
      <c r="B69" s="17"/>
      <c r="C69" s="18"/>
      <c r="D69" s="18"/>
      <c r="E69" s="36"/>
      <c r="F69" s="20"/>
      <c r="G69" s="21" t="str">
        <f aca="false">IF(OR(E69="",F69=""),"",E69*F69)</f>
        <v/>
      </c>
      <c r="H69" s="18"/>
    </row>
    <row r="70" customFormat="false" ht="15" hidden="false" customHeight="false" outlineLevel="0" collapsed="false">
      <c r="A70" s="18"/>
      <c r="B70" s="17"/>
      <c r="C70" s="18"/>
      <c r="D70" s="18"/>
      <c r="E70" s="36"/>
      <c r="F70" s="20"/>
      <c r="G70" s="21" t="str">
        <f aca="false">IF(OR(E70="",F70=""),"",E70*F70)</f>
        <v/>
      </c>
      <c r="H70" s="18"/>
    </row>
    <row r="71" customFormat="false" ht="15" hidden="false" customHeight="false" outlineLevel="0" collapsed="false">
      <c r="A71" s="18"/>
      <c r="B71" s="17"/>
      <c r="C71" s="18"/>
      <c r="D71" s="18"/>
      <c r="E71" s="36"/>
      <c r="F71" s="20"/>
      <c r="G71" s="21" t="str">
        <f aca="false">IF(OR(E71="",F71=""),"",E71*F71)</f>
        <v/>
      </c>
      <c r="H71" s="18"/>
    </row>
    <row r="72" customFormat="false" ht="15" hidden="false" customHeight="false" outlineLevel="0" collapsed="false">
      <c r="A72" s="18"/>
      <c r="B72" s="17"/>
      <c r="C72" s="18"/>
      <c r="D72" s="18"/>
      <c r="E72" s="36"/>
      <c r="F72" s="20"/>
      <c r="G72" s="21" t="str">
        <f aca="false">IF(OR(E72="",F72=""),"",E72*F72)</f>
        <v/>
      </c>
      <c r="H72" s="18"/>
    </row>
    <row r="73" customFormat="false" ht="15" hidden="false" customHeight="false" outlineLevel="0" collapsed="false">
      <c r="A73" s="18"/>
      <c r="B73" s="17"/>
      <c r="C73" s="18"/>
      <c r="D73" s="18"/>
      <c r="E73" s="36"/>
      <c r="F73" s="20"/>
      <c r="G73" s="21" t="str">
        <f aca="false">IF(OR(E73="",F73=""),"",E73*F73)</f>
        <v/>
      </c>
      <c r="H73" s="18"/>
    </row>
    <row r="74" customFormat="false" ht="15" hidden="false" customHeight="false" outlineLevel="0" collapsed="false">
      <c r="A74" s="18"/>
      <c r="B74" s="17"/>
      <c r="C74" s="18"/>
      <c r="D74" s="18"/>
      <c r="E74" s="36"/>
      <c r="F74" s="20"/>
      <c r="G74" s="21" t="str">
        <f aca="false">IF(OR(E74="",F74=""),"",E74*F74)</f>
        <v/>
      </c>
      <c r="H74" s="18"/>
    </row>
    <row r="75" customFormat="false" ht="15" hidden="false" customHeight="false" outlineLevel="0" collapsed="false">
      <c r="A75" s="18"/>
      <c r="B75" s="17"/>
      <c r="C75" s="18"/>
      <c r="D75" s="18"/>
      <c r="E75" s="36"/>
      <c r="F75" s="20"/>
      <c r="G75" s="21" t="str">
        <f aca="false">IF(OR(E75="",F75=""),"",E75*F75)</f>
        <v/>
      </c>
      <c r="H75" s="18"/>
    </row>
    <row r="76" customFormat="false" ht="15" hidden="false" customHeight="false" outlineLevel="0" collapsed="false">
      <c r="A76" s="18"/>
      <c r="B76" s="17"/>
      <c r="C76" s="18"/>
      <c r="D76" s="18"/>
      <c r="E76" s="36"/>
      <c r="F76" s="20"/>
      <c r="G76" s="21" t="str">
        <f aca="false">IF(OR(E76="",F76=""),"",E76*F76)</f>
        <v/>
      </c>
      <c r="H76" s="18"/>
    </row>
    <row r="77" customFormat="false" ht="15" hidden="false" customHeight="false" outlineLevel="0" collapsed="false">
      <c r="A77" s="18"/>
      <c r="B77" s="17"/>
      <c r="C77" s="18"/>
      <c r="D77" s="18"/>
      <c r="E77" s="36"/>
      <c r="F77" s="20"/>
      <c r="G77" s="21" t="str">
        <f aca="false">IF(OR(E77="",F77=""),"",E77*F77)</f>
        <v/>
      </c>
      <c r="H77" s="18"/>
    </row>
    <row r="78" customFormat="false" ht="15" hidden="false" customHeight="false" outlineLevel="0" collapsed="false">
      <c r="A78" s="18"/>
      <c r="B78" s="17"/>
      <c r="C78" s="18"/>
      <c r="D78" s="18"/>
      <c r="E78" s="36"/>
      <c r="F78" s="20"/>
      <c r="G78" s="21" t="str">
        <f aca="false">IF(OR(E78="",F78=""),"",E78*F78)</f>
        <v/>
      </c>
      <c r="H78" s="18"/>
    </row>
    <row r="79" customFormat="false" ht="15" hidden="false" customHeight="false" outlineLevel="0" collapsed="false">
      <c r="A79" s="18"/>
      <c r="B79" s="17"/>
      <c r="C79" s="18"/>
      <c r="D79" s="18"/>
      <c r="E79" s="36"/>
      <c r="F79" s="20"/>
      <c r="G79" s="21" t="str">
        <f aca="false">IF(OR(E79="",F79=""),"",E79*F79)</f>
        <v/>
      </c>
      <c r="H79" s="18"/>
    </row>
    <row r="80" customFormat="false" ht="15" hidden="false" customHeight="false" outlineLevel="0" collapsed="false">
      <c r="A80" s="18"/>
      <c r="B80" s="17"/>
      <c r="C80" s="18"/>
      <c r="D80" s="18"/>
      <c r="E80" s="36"/>
      <c r="F80" s="20"/>
      <c r="G80" s="21" t="str">
        <f aca="false">IF(OR(E80="",F80=""),"",E80*F80)</f>
        <v/>
      </c>
      <c r="H80" s="18"/>
    </row>
    <row r="81" customFormat="false" ht="15" hidden="false" customHeight="false" outlineLevel="0" collapsed="false">
      <c r="A81" s="18"/>
      <c r="B81" s="17"/>
      <c r="C81" s="18"/>
      <c r="D81" s="18"/>
      <c r="E81" s="36"/>
      <c r="F81" s="20"/>
      <c r="G81" s="21" t="str">
        <f aca="false">IF(OR(E81="",F81=""),"",E81*F81)</f>
        <v/>
      </c>
      <c r="H81" s="18"/>
    </row>
    <row r="82" customFormat="false" ht="15" hidden="false" customHeight="false" outlineLevel="0" collapsed="false">
      <c r="A82" s="18"/>
      <c r="B82" s="17"/>
      <c r="C82" s="18"/>
      <c r="D82" s="18"/>
      <c r="E82" s="36"/>
      <c r="F82" s="20"/>
      <c r="G82" s="21" t="str">
        <f aca="false">IF(OR(E82="",F82=""),"",E82*F82)</f>
        <v/>
      </c>
      <c r="H82" s="18"/>
    </row>
    <row r="83" customFormat="false" ht="15" hidden="false" customHeight="false" outlineLevel="0" collapsed="false">
      <c r="A83" s="18"/>
      <c r="B83" s="17"/>
      <c r="C83" s="18"/>
      <c r="D83" s="18"/>
      <c r="E83" s="36"/>
      <c r="F83" s="20"/>
      <c r="G83" s="21" t="str">
        <f aca="false">IF(OR(E83="",F83=""),"",E83*F83)</f>
        <v/>
      </c>
      <c r="H83" s="18"/>
    </row>
    <row r="84" customFormat="false" ht="15" hidden="false" customHeight="false" outlineLevel="0" collapsed="false">
      <c r="A84" s="18"/>
      <c r="B84" s="17"/>
      <c r="C84" s="18"/>
      <c r="D84" s="18"/>
      <c r="E84" s="36"/>
      <c r="F84" s="20"/>
      <c r="G84" s="21" t="str">
        <f aca="false">IF(OR(E84="",F84=""),"",E84*F84)</f>
        <v/>
      </c>
      <c r="H84" s="18"/>
    </row>
    <row r="85" customFormat="false" ht="15" hidden="false" customHeight="false" outlineLevel="0" collapsed="false">
      <c r="A85" s="18"/>
      <c r="B85" s="17"/>
      <c r="C85" s="18"/>
      <c r="D85" s="18"/>
      <c r="E85" s="36"/>
      <c r="F85" s="20"/>
      <c r="G85" s="21" t="str">
        <f aca="false">IF(OR(E85="",F85=""),"",E85*F85)</f>
        <v/>
      </c>
      <c r="H85" s="18"/>
    </row>
    <row r="86" customFormat="false" ht="15" hidden="false" customHeight="false" outlineLevel="0" collapsed="false">
      <c r="A86" s="18"/>
      <c r="B86" s="17"/>
      <c r="C86" s="18"/>
      <c r="D86" s="18"/>
      <c r="E86" s="36"/>
      <c r="F86" s="20"/>
      <c r="G86" s="21" t="str">
        <f aca="false">IF(OR(E86="",F86=""),"",E86*F86)</f>
        <v/>
      </c>
      <c r="H86" s="18"/>
    </row>
    <row r="87" customFormat="false" ht="15" hidden="false" customHeight="false" outlineLevel="0" collapsed="false">
      <c r="A87" s="18"/>
      <c r="B87" s="17"/>
      <c r="C87" s="18"/>
      <c r="D87" s="18"/>
      <c r="E87" s="36"/>
      <c r="F87" s="20"/>
      <c r="G87" s="21" t="str">
        <f aca="false">IF(OR(E87="",F87=""),"",E87*F87)</f>
        <v/>
      </c>
      <c r="H87" s="18"/>
    </row>
    <row r="88" customFormat="false" ht="15" hidden="false" customHeight="false" outlineLevel="0" collapsed="false">
      <c r="A88" s="18"/>
      <c r="B88" s="17"/>
      <c r="C88" s="18"/>
      <c r="D88" s="18"/>
      <c r="E88" s="36"/>
      <c r="F88" s="20"/>
      <c r="G88" s="21" t="str">
        <f aca="false">IF(OR(E88="",F88=""),"",E88*F88)</f>
        <v/>
      </c>
      <c r="H88" s="18"/>
    </row>
    <row r="89" customFormat="false" ht="15" hidden="false" customHeight="false" outlineLevel="0" collapsed="false">
      <c r="A89" s="18"/>
      <c r="B89" s="17"/>
      <c r="C89" s="18"/>
      <c r="D89" s="18"/>
      <c r="E89" s="36"/>
      <c r="F89" s="20"/>
      <c r="G89" s="21" t="str">
        <f aca="false">IF(OR(E89="",F89=""),"",E89*F89)</f>
        <v/>
      </c>
      <c r="H89" s="18"/>
    </row>
    <row r="90" customFormat="false" ht="15" hidden="false" customHeight="false" outlineLevel="0" collapsed="false">
      <c r="A90" s="18"/>
      <c r="B90" s="17"/>
      <c r="C90" s="18"/>
      <c r="D90" s="18"/>
      <c r="E90" s="36"/>
      <c r="F90" s="20"/>
      <c r="G90" s="21" t="str">
        <f aca="false">IF(OR(E90="",F90=""),"",E90*F90)</f>
        <v/>
      </c>
      <c r="H90" s="18"/>
    </row>
    <row r="91" customFormat="false" ht="15" hidden="false" customHeight="false" outlineLevel="0" collapsed="false">
      <c r="A91" s="18"/>
      <c r="B91" s="17"/>
      <c r="C91" s="18"/>
      <c r="D91" s="18"/>
      <c r="E91" s="36"/>
      <c r="F91" s="20"/>
      <c r="G91" s="21" t="str">
        <f aca="false">IF(OR(E91="",F91=""),"",E91*F91)</f>
        <v/>
      </c>
      <c r="H91" s="18"/>
    </row>
    <row r="92" customFormat="false" ht="15" hidden="false" customHeight="false" outlineLevel="0" collapsed="false">
      <c r="A92" s="18"/>
      <c r="B92" s="17"/>
      <c r="C92" s="18"/>
      <c r="D92" s="18"/>
      <c r="E92" s="36"/>
      <c r="F92" s="20"/>
      <c r="G92" s="21" t="str">
        <f aca="false">IF(OR(E92="",F92=""),"",E92*F92)</f>
        <v/>
      </c>
      <c r="H92" s="18"/>
    </row>
    <row r="93" customFormat="false" ht="15" hidden="false" customHeight="false" outlineLevel="0" collapsed="false">
      <c r="A93" s="18"/>
      <c r="B93" s="17"/>
      <c r="C93" s="18"/>
      <c r="D93" s="18"/>
      <c r="E93" s="36"/>
      <c r="F93" s="20"/>
      <c r="G93" s="21" t="str">
        <f aca="false">IF(OR(E93="",F93=""),"",E93*F93)</f>
        <v/>
      </c>
      <c r="H93" s="18"/>
    </row>
    <row r="94" customFormat="false" ht="15" hidden="false" customHeight="false" outlineLevel="0" collapsed="false">
      <c r="A94" s="18"/>
      <c r="B94" s="17"/>
      <c r="C94" s="18"/>
      <c r="D94" s="18"/>
      <c r="E94" s="36"/>
      <c r="F94" s="20"/>
      <c r="G94" s="21" t="str">
        <f aca="false">IF(OR(E94="",F94=""),"",E94*F94)</f>
        <v/>
      </c>
      <c r="H94" s="18"/>
    </row>
    <row r="95" customFormat="false" ht="15" hidden="false" customHeight="false" outlineLevel="0" collapsed="false">
      <c r="A95" s="18"/>
      <c r="B95" s="17"/>
      <c r="C95" s="18"/>
      <c r="D95" s="18"/>
      <c r="E95" s="36"/>
      <c r="F95" s="20"/>
      <c r="G95" s="21" t="str">
        <f aca="false">IF(OR(E95="",F95=""),"",E95*F95)</f>
        <v/>
      </c>
      <c r="H95" s="18"/>
    </row>
    <row r="96" customFormat="false" ht="15" hidden="false" customHeight="false" outlineLevel="0" collapsed="false">
      <c r="A96" s="18"/>
      <c r="B96" s="17"/>
      <c r="C96" s="18"/>
      <c r="D96" s="18"/>
      <c r="E96" s="36"/>
      <c r="F96" s="20"/>
      <c r="G96" s="21" t="str">
        <f aca="false">IF(OR(E96="",F96=""),"",E96*F96)</f>
        <v/>
      </c>
      <c r="H96" s="18"/>
    </row>
    <row r="97" customFormat="false" ht="15" hidden="false" customHeight="false" outlineLevel="0" collapsed="false">
      <c r="A97" s="18"/>
      <c r="B97" s="17"/>
      <c r="C97" s="18"/>
      <c r="D97" s="18"/>
      <c r="E97" s="36"/>
      <c r="F97" s="20"/>
      <c r="G97" s="21" t="str">
        <f aca="false">IF(OR(E97="",F97=""),"",E97*F97)</f>
        <v/>
      </c>
      <c r="H97" s="18"/>
    </row>
    <row r="98" customFormat="false" ht="15" hidden="false" customHeight="false" outlineLevel="0" collapsed="false">
      <c r="A98" s="18"/>
      <c r="B98" s="17"/>
      <c r="C98" s="18"/>
      <c r="D98" s="18"/>
      <c r="E98" s="36"/>
      <c r="F98" s="20"/>
      <c r="G98" s="21" t="str">
        <f aca="false">IF(OR(E98="",F98=""),"",E98*F98)</f>
        <v/>
      </c>
      <c r="H98" s="18"/>
    </row>
    <row r="99" customFormat="false" ht="15" hidden="false" customHeight="false" outlineLevel="0" collapsed="false">
      <c r="A99" s="18"/>
      <c r="B99" s="17"/>
      <c r="C99" s="18"/>
      <c r="D99" s="18"/>
      <c r="E99" s="36"/>
      <c r="F99" s="20"/>
      <c r="G99" s="21" t="str">
        <f aca="false">IF(OR(E99="",F99=""),"",E99*F99)</f>
        <v/>
      </c>
      <c r="H99" s="18"/>
    </row>
    <row r="100" customFormat="false" ht="15" hidden="false" customHeight="false" outlineLevel="0" collapsed="false">
      <c r="A100" s="18"/>
      <c r="B100" s="17"/>
      <c r="C100" s="18"/>
      <c r="D100" s="18"/>
      <c r="E100" s="36"/>
      <c r="F100" s="20"/>
      <c r="G100" s="21" t="str">
        <f aca="false">IF(OR(E100="",F100=""),"",E100*F100)</f>
        <v/>
      </c>
      <c r="H100" s="18"/>
    </row>
    <row r="101" customFormat="false" ht="15" hidden="false" customHeight="false" outlineLevel="0" collapsed="false">
      <c r="A101" s="18"/>
      <c r="B101" s="17"/>
      <c r="C101" s="18"/>
      <c r="D101" s="18"/>
      <c r="E101" s="36"/>
      <c r="F101" s="20"/>
      <c r="G101" s="21" t="str">
        <f aca="false">IF(OR(E101="",F101=""),"",E101*F101)</f>
        <v/>
      </c>
      <c r="H101" s="18"/>
    </row>
    <row r="102" customFormat="false" ht="15" hidden="false" customHeight="false" outlineLevel="0" collapsed="false">
      <c r="A102" s="18"/>
      <c r="B102" s="17"/>
      <c r="C102" s="18"/>
      <c r="D102" s="18"/>
      <c r="E102" s="36"/>
      <c r="F102" s="20"/>
      <c r="G102" s="21" t="str">
        <f aca="false">IF(OR(E102="",F102=""),"",E102*F102)</f>
        <v/>
      </c>
      <c r="H102" s="18"/>
    </row>
    <row r="103" customFormat="false" ht="15" hidden="false" customHeight="false" outlineLevel="0" collapsed="false">
      <c r="A103" s="18"/>
      <c r="B103" s="17"/>
      <c r="C103" s="18"/>
      <c r="D103" s="18"/>
      <c r="E103" s="36"/>
      <c r="F103" s="20"/>
      <c r="G103" s="21" t="str">
        <f aca="false">IF(OR(E103="",F103=""),"",E103*F103)</f>
        <v/>
      </c>
      <c r="H103" s="18"/>
    </row>
    <row r="104" customFormat="false" ht="15" hidden="false" customHeight="false" outlineLevel="0" collapsed="false">
      <c r="A104" s="18"/>
      <c r="B104" s="17"/>
      <c r="C104" s="18"/>
      <c r="D104" s="18"/>
      <c r="E104" s="36"/>
      <c r="F104" s="20"/>
      <c r="G104" s="21" t="str">
        <f aca="false">IF(OR(E104="",F104=""),"",E104*F104)</f>
        <v/>
      </c>
      <c r="H104" s="18"/>
    </row>
    <row r="105" customFormat="false" ht="15" hidden="false" customHeight="false" outlineLevel="0" collapsed="false">
      <c r="A105" s="18"/>
      <c r="B105" s="17"/>
      <c r="C105" s="18"/>
      <c r="D105" s="18"/>
      <c r="E105" s="36"/>
      <c r="F105" s="20"/>
      <c r="G105" s="21" t="str">
        <f aca="false">IF(OR(E105="",F105=""),"",E105*F105)</f>
        <v/>
      </c>
      <c r="H105" s="18"/>
    </row>
    <row r="106" customFormat="false" ht="15" hidden="false" customHeight="false" outlineLevel="0" collapsed="false">
      <c r="A106" s="18"/>
      <c r="B106" s="17"/>
      <c r="C106" s="18"/>
      <c r="D106" s="18"/>
      <c r="E106" s="36"/>
      <c r="F106" s="20"/>
      <c r="G106" s="21" t="str">
        <f aca="false">IF(OR(E106="",F106=""),"",E106*F106)</f>
        <v/>
      </c>
      <c r="H106" s="18"/>
    </row>
    <row r="107" customFormat="false" ht="15" hidden="false" customHeight="false" outlineLevel="0" collapsed="false">
      <c r="A107" s="18"/>
      <c r="B107" s="17"/>
      <c r="C107" s="18"/>
      <c r="D107" s="18"/>
      <c r="E107" s="36"/>
      <c r="F107" s="20"/>
      <c r="G107" s="21" t="str">
        <f aca="false">IF(OR(E107="",F107=""),"",E107*F107)</f>
        <v/>
      </c>
      <c r="H107" s="18"/>
    </row>
    <row r="108" customFormat="false" ht="15" hidden="false" customHeight="false" outlineLevel="0" collapsed="false">
      <c r="A108" s="18"/>
      <c r="B108" s="17"/>
      <c r="C108" s="18"/>
      <c r="D108" s="18"/>
      <c r="E108" s="36"/>
      <c r="F108" s="20"/>
      <c r="G108" s="21" t="str">
        <f aca="false">IF(OR(E108="",F108=""),"",E108*F108)</f>
        <v/>
      </c>
      <c r="H108" s="18"/>
    </row>
    <row r="109" customFormat="false" ht="15" hidden="false" customHeight="false" outlineLevel="0" collapsed="false">
      <c r="A109" s="18"/>
      <c r="B109" s="17"/>
      <c r="C109" s="18"/>
      <c r="D109" s="18"/>
      <c r="E109" s="36"/>
      <c r="F109" s="20"/>
      <c r="G109" s="21" t="str">
        <f aca="false">IF(OR(E109="",F109=""),"",E109*F109)</f>
        <v/>
      </c>
      <c r="H109" s="18"/>
    </row>
    <row r="110" customFormat="false" ht="15" hidden="false" customHeight="false" outlineLevel="0" collapsed="false">
      <c r="A110" s="18"/>
      <c r="B110" s="17"/>
      <c r="C110" s="18"/>
      <c r="D110" s="18"/>
      <c r="E110" s="36"/>
      <c r="F110" s="20"/>
      <c r="G110" s="21" t="str">
        <f aca="false">IF(OR(E110="",F110=""),"",E110*F110)</f>
        <v/>
      </c>
      <c r="H110" s="18"/>
    </row>
    <row r="111" customFormat="false" ht="15" hidden="false" customHeight="false" outlineLevel="0" collapsed="false">
      <c r="A111" s="18"/>
      <c r="B111" s="17"/>
      <c r="C111" s="18"/>
      <c r="D111" s="18"/>
      <c r="E111" s="36"/>
      <c r="F111" s="20"/>
      <c r="G111" s="21" t="str">
        <f aca="false">IF(OR(E111="",F111=""),"",E111*F111)</f>
        <v/>
      </c>
      <c r="H111" s="18"/>
    </row>
    <row r="112" customFormat="false" ht="15" hidden="false" customHeight="false" outlineLevel="0" collapsed="false">
      <c r="A112" s="18"/>
      <c r="B112" s="17"/>
      <c r="C112" s="18"/>
      <c r="D112" s="18"/>
      <c r="E112" s="36"/>
      <c r="F112" s="20"/>
      <c r="G112" s="21" t="str">
        <f aca="false">IF(OR(E112="",F112=""),"",E112*F112)</f>
        <v/>
      </c>
      <c r="H112" s="18"/>
    </row>
    <row r="113" customFormat="false" ht="15" hidden="false" customHeight="false" outlineLevel="0" collapsed="false">
      <c r="A113" s="18"/>
      <c r="B113" s="17"/>
      <c r="C113" s="18"/>
      <c r="D113" s="18"/>
      <c r="E113" s="36"/>
      <c r="F113" s="20"/>
      <c r="G113" s="21" t="str">
        <f aca="false">IF(OR(E113="",F113=""),"",E113*F113)</f>
        <v/>
      </c>
      <c r="H113" s="18"/>
    </row>
    <row r="114" customFormat="false" ht="15" hidden="false" customHeight="false" outlineLevel="0" collapsed="false">
      <c r="A114" s="18"/>
      <c r="B114" s="17"/>
      <c r="C114" s="18"/>
      <c r="D114" s="18"/>
      <c r="E114" s="36"/>
      <c r="F114" s="20"/>
      <c r="G114" s="21" t="str">
        <f aca="false">IF(OR(E114="",F114=""),"",E114*F114)</f>
        <v/>
      </c>
      <c r="H114" s="18"/>
    </row>
    <row r="115" customFormat="false" ht="15" hidden="false" customHeight="false" outlineLevel="0" collapsed="false">
      <c r="A115" s="18"/>
      <c r="B115" s="17"/>
      <c r="C115" s="18"/>
      <c r="D115" s="18"/>
      <c r="E115" s="36"/>
      <c r="F115" s="20"/>
      <c r="G115" s="21" t="str">
        <f aca="false">IF(OR(E115="",F115=""),"",E115*F115)</f>
        <v/>
      </c>
      <c r="H115" s="18"/>
    </row>
    <row r="116" customFormat="false" ht="15" hidden="false" customHeight="false" outlineLevel="0" collapsed="false">
      <c r="A116" s="18"/>
      <c r="B116" s="17"/>
      <c r="C116" s="18"/>
      <c r="D116" s="18"/>
      <c r="E116" s="36"/>
      <c r="F116" s="20"/>
      <c r="G116" s="21" t="str">
        <f aca="false">IF(OR(E116="",F116=""),"",E116*F116)</f>
        <v/>
      </c>
      <c r="H116" s="18"/>
    </row>
    <row r="117" customFormat="false" ht="15" hidden="false" customHeight="false" outlineLevel="0" collapsed="false">
      <c r="A117" s="18"/>
      <c r="B117" s="17"/>
      <c r="C117" s="18"/>
      <c r="D117" s="18"/>
      <c r="E117" s="36"/>
      <c r="F117" s="20"/>
      <c r="G117" s="21" t="str">
        <f aca="false">IF(OR(E117="",F117=""),"",E117*F117)</f>
        <v/>
      </c>
      <c r="H117" s="18"/>
    </row>
    <row r="118" customFormat="false" ht="15" hidden="false" customHeight="false" outlineLevel="0" collapsed="false">
      <c r="A118" s="18"/>
      <c r="B118" s="17"/>
      <c r="C118" s="18"/>
      <c r="D118" s="18"/>
      <c r="E118" s="36"/>
      <c r="F118" s="20"/>
      <c r="G118" s="21" t="str">
        <f aca="false">IF(OR(E118="",F118=""),"",E118*F118)</f>
        <v/>
      </c>
      <c r="H118" s="18"/>
    </row>
    <row r="119" customFormat="false" ht="15" hidden="false" customHeight="false" outlineLevel="0" collapsed="false">
      <c r="A119" s="18"/>
      <c r="B119" s="17"/>
      <c r="C119" s="18"/>
      <c r="D119" s="18"/>
      <c r="E119" s="36"/>
      <c r="F119" s="20"/>
      <c r="G119" s="21" t="str">
        <f aca="false">IF(OR(E119="",F119=""),"",E119*F119)</f>
        <v/>
      </c>
      <c r="H119" s="18"/>
    </row>
    <row r="120" customFormat="false" ht="15" hidden="false" customHeight="false" outlineLevel="0" collapsed="false">
      <c r="A120" s="18"/>
      <c r="B120" s="17"/>
      <c r="C120" s="18"/>
      <c r="D120" s="18"/>
      <c r="E120" s="36"/>
      <c r="F120" s="20"/>
      <c r="G120" s="21" t="str">
        <f aca="false">IF(OR(E120="",F120=""),"",E120*F120)</f>
        <v/>
      </c>
      <c r="H120" s="18"/>
    </row>
    <row r="121" customFormat="false" ht="15" hidden="false" customHeight="false" outlineLevel="0" collapsed="false">
      <c r="A121" s="18"/>
      <c r="B121" s="17"/>
      <c r="C121" s="18"/>
      <c r="D121" s="18"/>
      <c r="E121" s="36"/>
      <c r="F121" s="20"/>
      <c r="G121" s="21" t="str">
        <f aca="false">IF(OR(E121="",F121=""),"",E121*F121)</f>
        <v/>
      </c>
      <c r="H121" s="18"/>
    </row>
    <row r="122" customFormat="false" ht="15" hidden="false" customHeight="false" outlineLevel="0" collapsed="false">
      <c r="A122" s="18"/>
      <c r="B122" s="17"/>
      <c r="C122" s="18"/>
      <c r="D122" s="18"/>
      <c r="E122" s="36"/>
      <c r="F122" s="20"/>
      <c r="G122" s="21" t="str">
        <f aca="false">IF(OR(E122="",F122=""),"",E122*F122)</f>
        <v/>
      </c>
      <c r="H122" s="18"/>
    </row>
    <row r="123" customFormat="false" ht="15" hidden="false" customHeight="false" outlineLevel="0" collapsed="false">
      <c r="A123" s="18"/>
      <c r="B123" s="17"/>
      <c r="C123" s="18"/>
      <c r="D123" s="18"/>
      <c r="E123" s="36"/>
      <c r="F123" s="20"/>
      <c r="G123" s="21" t="str">
        <f aca="false">IF(OR(E123="",F123=""),"",E123*F123)</f>
        <v/>
      </c>
      <c r="H123" s="18"/>
    </row>
    <row r="124" customFormat="false" ht="15" hidden="false" customHeight="false" outlineLevel="0" collapsed="false">
      <c r="A124" s="18"/>
      <c r="B124" s="17"/>
      <c r="C124" s="18"/>
      <c r="D124" s="18"/>
      <c r="E124" s="36"/>
      <c r="F124" s="20"/>
      <c r="G124" s="21" t="str">
        <f aca="false">IF(OR(E124="",F124=""),"",E124*F124)</f>
        <v/>
      </c>
      <c r="H124" s="18"/>
    </row>
    <row r="125" customFormat="false" ht="15" hidden="false" customHeight="false" outlineLevel="0" collapsed="false">
      <c r="A125" s="18"/>
      <c r="B125" s="17"/>
      <c r="C125" s="18"/>
      <c r="D125" s="18"/>
      <c r="E125" s="36"/>
      <c r="F125" s="20"/>
      <c r="G125" s="21" t="str">
        <f aca="false">IF(OR(E125="",F125=""),"",E125*F125)</f>
        <v/>
      </c>
      <c r="H125" s="18"/>
    </row>
    <row r="126" customFormat="false" ht="15" hidden="false" customHeight="false" outlineLevel="0" collapsed="false">
      <c r="A126" s="18"/>
      <c r="B126" s="17"/>
      <c r="C126" s="18"/>
      <c r="D126" s="18"/>
      <c r="E126" s="36"/>
      <c r="F126" s="20"/>
      <c r="G126" s="21" t="str">
        <f aca="false">IF(OR(E126="",F126=""),"",E126*F126)</f>
        <v/>
      </c>
      <c r="H126" s="18"/>
    </row>
    <row r="127" customFormat="false" ht="15" hidden="false" customHeight="false" outlineLevel="0" collapsed="false">
      <c r="A127" s="18"/>
      <c r="B127" s="17"/>
      <c r="C127" s="18"/>
      <c r="D127" s="18"/>
      <c r="E127" s="36"/>
      <c r="F127" s="20"/>
      <c r="G127" s="21" t="str">
        <f aca="false">IF(OR(E127="",F127=""),"",E127*F127)</f>
        <v/>
      </c>
      <c r="H127" s="18"/>
    </row>
    <row r="128" customFormat="false" ht="15" hidden="false" customHeight="false" outlineLevel="0" collapsed="false">
      <c r="A128" s="18"/>
      <c r="B128" s="17"/>
      <c r="C128" s="18"/>
      <c r="D128" s="18"/>
      <c r="E128" s="36"/>
      <c r="F128" s="20"/>
      <c r="G128" s="21" t="str">
        <f aca="false">IF(OR(E128="",F128=""),"",E128*F128)</f>
        <v/>
      </c>
      <c r="H128" s="18"/>
    </row>
    <row r="129" customFormat="false" ht="15" hidden="false" customHeight="false" outlineLevel="0" collapsed="false">
      <c r="A129" s="18"/>
      <c r="B129" s="17"/>
      <c r="C129" s="18"/>
      <c r="D129" s="18"/>
      <c r="E129" s="36"/>
      <c r="F129" s="20"/>
      <c r="G129" s="21" t="str">
        <f aca="false">IF(OR(E129="",F129=""),"",E129*F129)</f>
        <v/>
      </c>
      <c r="H129" s="18"/>
    </row>
    <row r="130" customFormat="false" ht="15" hidden="false" customHeight="false" outlineLevel="0" collapsed="false">
      <c r="A130" s="18"/>
      <c r="B130" s="17"/>
      <c r="C130" s="18"/>
      <c r="D130" s="18"/>
      <c r="E130" s="36"/>
      <c r="F130" s="20"/>
      <c r="G130" s="21" t="str">
        <f aca="false">IF(OR(E130="",F130=""),"",E130*F130)</f>
        <v/>
      </c>
      <c r="H130" s="18"/>
    </row>
    <row r="131" customFormat="false" ht="15" hidden="false" customHeight="false" outlineLevel="0" collapsed="false">
      <c r="A131" s="18"/>
      <c r="B131" s="17"/>
      <c r="C131" s="18"/>
      <c r="D131" s="18"/>
      <c r="E131" s="36"/>
      <c r="F131" s="20"/>
      <c r="G131" s="21" t="str">
        <f aca="false">IF(OR(E131="",F131=""),"",E131*F131)</f>
        <v/>
      </c>
      <c r="H131" s="18"/>
    </row>
    <row r="132" customFormat="false" ht="15" hidden="false" customHeight="false" outlineLevel="0" collapsed="false">
      <c r="A132" s="18"/>
      <c r="B132" s="17"/>
      <c r="C132" s="18"/>
      <c r="D132" s="18"/>
      <c r="E132" s="36"/>
      <c r="F132" s="20"/>
      <c r="G132" s="21" t="str">
        <f aca="false">IF(OR(E132="",F132=""),"",E132*F132)</f>
        <v/>
      </c>
      <c r="H132" s="18"/>
    </row>
    <row r="133" customFormat="false" ht="15" hidden="false" customHeight="false" outlineLevel="0" collapsed="false">
      <c r="A133" s="18"/>
      <c r="B133" s="17"/>
      <c r="C133" s="18"/>
      <c r="D133" s="18"/>
      <c r="E133" s="36"/>
      <c r="F133" s="20"/>
      <c r="G133" s="21" t="str">
        <f aca="false">IF(OR(E133="",F133=""),"",E133*F133)</f>
        <v/>
      </c>
      <c r="H133" s="18"/>
    </row>
    <row r="134" customFormat="false" ht="15" hidden="false" customHeight="false" outlineLevel="0" collapsed="false">
      <c r="A134" s="18"/>
      <c r="B134" s="17"/>
      <c r="C134" s="18"/>
      <c r="D134" s="18"/>
      <c r="E134" s="36"/>
      <c r="F134" s="20"/>
      <c r="G134" s="21" t="str">
        <f aca="false">IF(OR(E134="",F134=""),"",E134*F134)</f>
        <v/>
      </c>
      <c r="H134" s="18"/>
    </row>
    <row r="135" customFormat="false" ht="15" hidden="false" customHeight="false" outlineLevel="0" collapsed="false">
      <c r="A135" s="18"/>
      <c r="B135" s="17"/>
      <c r="C135" s="18"/>
      <c r="D135" s="18"/>
      <c r="E135" s="36"/>
      <c r="F135" s="20"/>
      <c r="G135" s="21" t="str">
        <f aca="false">IF(OR(E135="",F135=""),"",E135*F135)</f>
        <v/>
      </c>
      <c r="H135" s="18"/>
    </row>
    <row r="136" customFormat="false" ht="15" hidden="false" customHeight="false" outlineLevel="0" collapsed="false">
      <c r="A136" s="18"/>
      <c r="B136" s="17"/>
      <c r="C136" s="18"/>
      <c r="D136" s="18"/>
      <c r="E136" s="36"/>
      <c r="F136" s="20"/>
      <c r="G136" s="21" t="str">
        <f aca="false">IF(OR(E136="",F136=""),"",E136*F136)</f>
        <v/>
      </c>
      <c r="H136" s="18"/>
    </row>
    <row r="137" customFormat="false" ht="15" hidden="false" customHeight="false" outlineLevel="0" collapsed="false">
      <c r="A137" s="18"/>
      <c r="B137" s="17"/>
      <c r="C137" s="18"/>
      <c r="D137" s="18"/>
      <c r="E137" s="36"/>
      <c r="F137" s="20"/>
      <c r="G137" s="21" t="str">
        <f aca="false">IF(OR(E137="",F137=""),"",E137*F137)</f>
        <v/>
      </c>
      <c r="H137" s="18"/>
    </row>
    <row r="138" customFormat="false" ht="15" hidden="false" customHeight="false" outlineLevel="0" collapsed="false">
      <c r="A138" s="18"/>
      <c r="B138" s="17"/>
      <c r="C138" s="18"/>
      <c r="D138" s="18"/>
      <c r="E138" s="36"/>
      <c r="F138" s="20"/>
      <c r="G138" s="21" t="str">
        <f aca="false">IF(OR(E138="",F138=""),"",E138*F138)</f>
        <v/>
      </c>
      <c r="H138" s="18"/>
    </row>
    <row r="139" customFormat="false" ht="15" hidden="false" customHeight="false" outlineLevel="0" collapsed="false">
      <c r="A139" s="18"/>
      <c r="B139" s="17"/>
      <c r="C139" s="18"/>
      <c r="D139" s="18"/>
      <c r="E139" s="36"/>
      <c r="F139" s="20"/>
      <c r="G139" s="21" t="str">
        <f aca="false">IF(OR(E139="",F139=""),"",E139*F139)</f>
        <v/>
      </c>
      <c r="H139" s="18"/>
    </row>
    <row r="140" customFormat="false" ht="15" hidden="false" customHeight="false" outlineLevel="0" collapsed="false">
      <c r="A140" s="18"/>
      <c r="B140" s="17"/>
      <c r="C140" s="18"/>
      <c r="D140" s="18"/>
      <c r="E140" s="36"/>
      <c r="F140" s="20"/>
      <c r="G140" s="21" t="str">
        <f aca="false">IF(OR(E140="",F140=""),"",E140*F140)</f>
        <v/>
      </c>
      <c r="H140" s="18"/>
    </row>
    <row r="141" customFormat="false" ht="15" hidden="false" customHeight="false" outlineLevel="0" collapsed="false">
      <c r="A141" s="18"/>
      <c r="B141" s="17"/>
      <c r="C141" s="18"/>
      <c r="D141" s="18"/>
      <c r="E141" s="36"/>
      <c r="F141" s="20"/>
      <c r="G141" s="21" t="str">
        <f aca="false">IF(OR(E141="",F141=""),"",E141*F141)</f>
        <v/>
      </c>
      <c r="H141" s="18"/>
    </row>
    <row r="142" customFormat="false" ht="15" hidden="false" customHeight="false" outlineLevel="0" collapsed="false">
      <c r="A142" s="18"/>
      <c r="B142" s="17"/>
      <c r="C142" s="18"/>
      <c r="D142" s="18"/>
      <c r="E142" s="36"/>
      <c r="F142" s="20"/>
      <c r="G142" s="21" t="str">
        <f aca="false">IF(OR(E142="",F142=""),"",E142*F142)</f>
        <v/>
      </c>
      <c r="H142" s="18"/>
    </row>
    <row r="143" customFormat="false" ht="15" hidden="false" customHeight="false" outlineLevel="0" collapsed="false">
      <c r="A143" s="18"/>
      <c r="B143" s="17"/>
      <c r="C143" s="18"/>
      <c r="D143" s="18"/>
      <c r="E143" s="36"/>
      <c r="F143" s="20"/>
      <c r="G143" s="21" t="str">
        <f aca="false">IF(OR(E143="",F143=""),"",E143*F143)</f>
        <v/>
      </c>
      <c r="H143" s="18"/>
    </row>
    <row r="144" customFormat="false" ht="15" hidden="false" customHeight="false" outlineLevel="0" collapsed="false">
      <c r="A144" s="18"/>
      <c r="B144" s="17"/>
      <c r="C144" s="18"/>
      <c r="D144" s="18"/>
      <c r="E144" s="36"/>
      <c r="F144" s="20"/>
      <c r="G144" s="21" t="str">
        <f aca="false">IF(OR(E144="",F144=""),"",E144*F144)</f>
        <v/>
      </c>
      <c r="H144" s="18"/>
    </row>
    <row r="145" customFormat="false" ht="15" hidden="false" customHeight="false" outlineLevel="0" collapsed="false">
      <c r="A145" s="18"/>
      <c r="B145" s="17"/>
      <c r="C145" s="18"/>
      <c r="D145" s="18"/>
      <c r="E145" s="36"/>
      <c r="F145" s="20"/>
      <c r="G145" s="21" t="str">
        <f aca="false">IF(OR(E145="",F145=""),"",E145*F145)</f>
        <v/>
      </c>
      <c r="H145" s="18"/>
    </row>
    <row r="146" customFormat="false" ht="15" hidden="false" customHeight="false" outlineLevel="0" collapsed="false">
      <c r="A146" s="18"/>
      <c r="B146" s="17"/>
      <c r="C146" s="18"/>
      <c r="D146" s="18"/>
      <c r="E146" s="36"/>
      <c r="F146" s="20"/>
      <c r="G146" s="21" t="str">
        <f aca="false">IF(OR(E146="",F146=""),"",E146*F146)</f>
        <v/>
      </c>
      <c r="H146" s="18"/>
    </row>
    <row r="147" customFormat="false" ht="15" hidden="false" customHeight="false" outlineLevel="0" collapsed="false">
      <c r="A147" s="18"/>
      <c r="B147" s="17"/>
      <c r="C147" s="18"/>
      <c r="D147" s="18"/>
      <c r="E147" s="36"/>
      <c r="F147" s="20"/>
      <c r="G147" s="21" t="str">
        <f aca="false">IF(OR(E147="",F147=""),"",E147*F147)</f>
        <v/>
      </c>
      <c r="H147" s="18"/>
    </row>
    <row r="148" customFormat="false" ht="15" hidden="false" customHeight="false" outlineLevel="0" collapsed="false">
      <c r="A148" s="18"/>
      <c r="B148" s="17"/>
      <c r="C148" s="18"/>
      <c r="D148" s="18"/>
      <c r="E148" s="36"/>
      <c r="F148" s="20"/>
      <c r="G148" s="21" t="str">
        <f aca="false">IF(OR(E148="",F148=""),"",E148*F148)</f>
        <v/>
      </c>
      <c r="H148" s="18"/>
    </row>
    <row r="149" customFormat="false" ht="15" hidden="false" customHeight="false" outlineLevel="0" collapsed="false">
      <c r="A149" s="18"/>
      <c r="B149" s="17"/>
      <c r="C149" s="18"/>
      <c r="D149" s="18"/>
      <c r="E149" s="36"/>
      <c r="F149" s="20"/>
      <c r="G149" s="21" t="str">
        <f aca="false">IF(OR(E149="",F149=""),"",E149*F149)</f>
        <v/>
      </c>
      <c r="H149" s="18"/>
    </row>
    <row r="150" customFormat="false" ht="15" hidden="false" customHeight="false" outlineLevel="0" collapsed="false">
      <c r="A150" s="18"/>
      <c r="B150" s="17"/>
      <c r="C150" s="18"/>
      <c r="D150" s="18"/>
      <c r="E150" s="36"/>
      <c r="F150" s="20"/>
      <c r="G150" s="21" t="str">
        <f aca="false">IF(OR(E150="",F150=""),"",E150*F150)</f>
        <v/>
      </c>
      <c r="H150" s="18"/>
    </row>
    <row r="151" customFormat="false" ht="15" hidden="false" customHeight="false" outlineLevel="0" collapsed="false">
      <c r="A151" s="18"/>
      <c r="B151" s="17"/>
      <c r="C151" s="18"/>
      <c r="D151" s="18"/>
      <c r="E151" s="36"/>
      <c r="F151" s="20"/>
      <c r="G151" s="21" t="str">
        <f aca="false">IF(OR(E151="",F151=""),"",E151*F151)</f>
        <v/>
      </c>
      <c r="H151" s="18"/>
    </row>
    <row r="152" customFormat="false" ht="15" hidden="false" customHeight="false" outlineLevel="0" collapsed="false">
      <c r="A152" s="18"/>
      <c r="B152" s="17"/>
      <c r="C152" s="18"/>
      <c r="D152" s="18"/>
      <c r="E152" s="36"/>
      <c r="F152" s="20"/>
      <c r="G152" s="21" t="str">
        <f aca="false">IF(OR(E152="",F152=""),"",E152*F152)</f>
        <v/>
      </c>
      <c r="H152" s="18"/>
    </row>
    <row r="153" customFormat="false" ht="15" hidden="false" customHeight="false" outlineLevel="0" collapsed="false">
      <c r="A153" s="18"/>
      <c r="B153" s="17"/>
      <c r="C153" s="18"/>
      <c r="D153" s="18"/>
      <c r="E153" s="36"/>
      <c r="F153" s="20"/>
      <c r="G153" s="21" t="str">
        <f aca="false">IF(OR(E153="",F153=""),"",E153*F153)</f>
        <v/>
      </c>
      <c r="H153" s="18"/>
    </row>
    <row r="154" customFormat="false" ht="15" hidden="false" customHeight="false" outlineLevel="0" collapsed="false">
      <c r="A154" s="18"/>
      <c r="B154" s="17"/>
      <c r="C154" s="18"/>
      <c r="D154" s="18"/>
      <c r="E154" s="36"/>
      <c r="F154" s="20"/>
      <c r="G154" s="21" t="str">
        <f aca="false">IF(OR(E154="",F154=""),"",E154*F154)</f>
        <v/>
      </c>
      <c r="H154" s="18"/>
    </row>
    <row r="155" customFormat="false" ht="15" hidden="false" customHeight="false" outlineLevel="0" collapsed="false">
      <c r="A155" s="18"/>
      <c r="B155" s="17"/>
      <c r="C155" s="18"/>
      <c r="D155" s="18"/>
      <c r="E155" s="36"/>
      <c r="F155" s="20"/>
      <c r="G155" s="21" t="str">
        <f aca="false">IF(OR(E155="",F155=""),"",E155*F155)</f>
        <v/>
      </c>
      <c r="H155" s="18"/>
    </row>
    <row r="156" customFormat="false" ht="15" hidden="false" customHeight="false" outlineLevel="0" collapsed="false">
      <c r="A156" s="18"/>
      <c r="B156" s="17"/>
      <c r="C156" s="18"/>
      <c r="D156" s="18"/>
      <c r="E156" s="36"/>
      <c r="F156" s="20"/>
      <c r="G156" s="21" t="str">
        <f aca="false">IF(OR(E156="",F156=""),"",E156*F156)</f>
        <v/>
      </c>
      <c r="H156" s="18"/>
    </row>
    <row r="157" customFormat="false" ht="15" hidden="false" customHeight="false" outlineLevel="0" collapsed="false">
      <c r="A157" s="18"/>
      <c r="B157" s="17"/>
      <c r="C157" s="18"/>
      <c r="D157" s="18"/>
      <c r="E157" s="36"/>
      <c r="F157" s="20"/>
      <c r="G157" s="21" t="str">
        <f aca="false">IF(OR(E157="",F157=""),"",E157*F157)</f>
        <v/>
      </c>
      <c r="H157" s="18"/>
    </row>
    <row r="158" customFormat="false" ht="15" hidden="false" customHeight="false" outlineLevel="0" collapsed="false">
      <c r="A158" s="18"/>
      <c r="B158" s="17"/>
      <c r="C158" s="18"/>
      <c r="D158" s="18"/>
      <c r="E158" s="36"/>
      <c r="F158" s="20"/>
      <c r="G158" s="21" t="str">
        <f aca="false">IF(OR(E158="",F158=""),"",E158*F158)</f>
        <v/>
      </c>
      <c r="H158" s="18"/>
    </row>
    <row r="159" customFormat="false" ht="15" hidden="false" customHeight="false" outlineLevel="0" collapsed="false">
      <c r="A159" s="18"/>
      <c r="B159" s="17"/>
      <c r="C159" s="18"/>
      <c r="D159" s="18"/>
      <c r="E159" s="36"/>
      <c r="F159" s="20"/>
      <c r="G159" s="21" t="str">
        <f aca="false">IF(OR(E159="",F159=""),"",E159*F159)</f>
        <v/>
      </c>
      <c r="H159" s="18"/>
    </row>
    <row r="160" customFormat="false" ht="15" hidden="false" customHeight="false" outlineLevel="0" collapsed="false">
      <c r="A160" s="18"/>
      <c r="B160" s="17"/>
      <c r="C160" s="18"/>
      <c r="D160" s="18"/>
      <c r="E160" s="36"/>
      <c r="F160" s="20"/>
      <c r="G160" s="21" t="str">
        <f aca="false">IF(OR(E160="",F160=""),"",E160*F160)</f>
        <v/>
      </c>
      <c r="H160" s="18"/>
    </row>
    <row r="161" customFormat="false" ht="15" hidden="false" customHeight="false" outlineLevel="0" collapsed="false">
      <c r="A161" s="18"/>
      <c r="B161" s="17"/>
      <c r="C161" s="18"/>
      <c r="D161" s="18"/>
      <c r="E161" s="36"/>
      <c r="F161" s="20"/>
      <c r="G161" s="21" t="str">
        <f aca="false">IF(OR(E161="",F161=""),"",E161*F161)</f>
        <v/>
      </c>
      <c r="H161" s="18"/>
    </row>
    <row r="162" customFormat="false" ht="15" hidden="false" customHeight="false" outlineLevel="0" collapsed="false">
      <c r="A162" s="18"/>
      <c r="B162" s="17"/>
      <c r="C162" s="18"/>
      <c r="D162" s="18"/>
      <c r="E162" s="36"/>
      <c r="F162" s="20"/>
      <c r="G162" s="21" t="str">
        <f aca="false">IF(OR(E162="",F162=""),"",E162*F162)</f>
        <v/>
      </c>
      <c r="H162" s="18"/>
    </row>
    <row r="163" customFormat="false" ht="15" hidden="false" customHeight="false" outlineLevel="0" collapsed="false">
      <c r="A163" s="18"/>
      <c r="B163" s="17"/>
      <c r="C163" s="18"/>
      <c r="D163" s="18"/>
      <c r="E163" s="36"/>
      <c r="F163" s="20"/>
      <c r="G163" s="21" t="str">
        <f aca="false">IF(OR(E163="",F163=""),"",E163*F163)</f>
        <v/>
      </c>
      <c r="H163" s="18"/>
    </row>
    <row r="164" customFormat="false" ht="15" hidden="false" customHeight="false" outlineLevel="0" collapsed="false">
      <c r="A164" s="18"/>
      <c r="B164" s="17"/>
      <c r="C164" s="18"/>
      <c r="D164" s="18"/>
      <c r="E164" s="36"/>
      <c r="F164" s="20"/>
      <c r="G164" s="21" t="str">
        <f aca="false">IF(OR(E164="",F164=""),"",E164*F164)</f>
        <v/>
      </c>
      <c r="H164" s="18"/>
    </row>
    <row r="165" customFormat="false" ht="15" hidden="false" customHeight="false" outlineLevel="0" collapsed="false">
      <c r="A165" s="18"/>
      <c r="B165" s="17"/>
      <c r="C165" s="18"/>
      <c r="D165" s="18"/>
      <c r="E165" s="36"/>
      <c r="F165" s="20"/>
      <c r="G165" s="21" t="str">
        <f aca="false">IF(OR(E165="",F165=""),"",E165*F165)</f>
        <v/>
      </c>
      <c r="H165" s="18"/>
    </row>
    <row r="166" customFormat="false" ht="15" hidden="false" customHeight="false" outlineLevel="0" collapsed="false">
      <c r="A166" s="18"/>
      <c r="B166" s="17"/>
      <c r="C166" s="18"/>
      <c r="D166" s="18"/>
      <c r="E166" s="36"/>
      <c r="F166" s="20"/>
      <c r="G166" s="21" t="str">
        <f aca="false">IF(OR(E166="",F166=""),"",E166*F166)</f>
        <v/>
      </c>
      <c r="H166" s="18"/>
    </row>
    <row r="167" customFormat="false" ht="15" hidden="false" customHeight="false" outlineLevel="0" collapsed="false">
      <c r="A167" s="18"/>
      <c r="B167" s="17"/>
      <c r="C167" s="18"/>
      <c r="D167" s="18"/>
      <c r="E167" s="36"/>
      <c r="F167" s="20"/>
      <c r="G167" s="21" t="str">
        <f aca="false">IF(OR(E167="",F167=""),"",E167*F167)</f>
        <v/>
      </c>
      <c r="H167" s="18"/>
    </row>
    <row r="168" customFormat="false" ht="15" hidden="false" customHeight="false" outlineLevel="0" collapsed="false">
      <c r="A168" s="18"/>
      <c r="B168" s="17"/>
      <c r="C168" s="18"/>
      <c r="D168" s="18"/>
      <c r="E168" s="36"/>
      <c r="F168" s="20"/>
      <c r="G168" s="21" t="str">
        <f aca="false">IF(OR(E168="",F168=""),"",E168*F168)</f>
        <v/>
      </c>
      <c r="H168" s="18"/>
    </row>
    <row r="169" customFormat="false" ht="15" hidden="false" customHeight="false" outlineLevel="0" collapsed="false">
      <c r="A169" s="18"/>
      <c r="B169" s="17"/>
      <c r="C169" s="18"/>
      <c r="D169" s="18"/>
      <c r="E169" s="36"/>
      <c r="F169" s="20"/>
      <c r="G169" s="21" t="str">
        <f aca="false">IF(OR(E169="",F169=""),"",E169*F169)</f>
        <v/>
      </c>
      <c r="H169" s="18"/>
    </row>
    <row r="170" customFormat="false" ht="15" hidden="false" customHeight="false" outlineLevel="0" collapsed="false">
      <c r="A170" s="18"/>
      <c r="B170" s="17"/>
      <c r="C170" s="18"/>
      <c r="D170" s="18"/>
      <c r="E170" s="36"/>
      <c r="F170" s="20"/>
      <c r="G170" s="21" t="str">
        <f aca="false">IF(OR(E170="",F170=""),"",E170*F170)</f>
        <v/>
      </c>
      <c r="H170" s="18"/>
    </row>
    <row r="171" customFormat="false" ht="15" hidden="false" customHeight="false" outlineLevel="0" collapsed="false">
      <c r="A171" s="18"/>
      <c r="B171" s="17"/>
      <c r="C171" s="18"/>
      <c r="D171" s="18"/>
      <c r="E171" s="36"/>
      <c r="F171" s="20"/>
      <c r="G171" s="21" t="str">
        <f aca="false">IF(OR(E171="",F171=""),"",E171*F171)</f>
        <v/>
      </c>
      <c r="H171" s="18"/>
    </row>
    <row r="172" customFormat="false" ht="15" hidden="false" customHeight="false" outlineLevel="0" collapsed="false">
      <c r="A172" s="18"/>
      <c r="B172" s="17"/>
      <c r="C172" s="18"/>
      <c r="D172" s="18"/>
      <c r="E172" s="36"/>
      <c r="F172" s="20"/>
      <c r="G172" s="21" t="str">
        <f aca="false">IF(OR(E172="",F172=""),"",E172*F172)</f>
        <v/>
      </c>
      <c r="H172" s="18"/>
    </row>
    <row r="173" customFormat="false" ht="15" hidden="false" customHeight="false" outlineLevel="0" collapsed="false">
      <c r="A173" s="18"/>
      <c r="B173" s="17"/>
      <c r="C173" s="18"/>
      <c r="D173" s="18"/>
      <c r="E173" s="36"/>
      <c r="F173" s="20"/>
      <c r="G173" s="21" t="str">
        <f aca="false">IF(OR(E173="",F173=""),"",E173*F173)</f>
        <v/>
      </c>
      <c r="H173" s="18"/>
    </row>
    <row r="174" customFormat="false" ht="15" hidden="false" customHeight="false" outlineLevel="0" collapsed="false">
      <c r="A174" s="18"/>
      <c r="B174" s="17"/>
      <c r="C174" s="18"/>
      <c r="D174" s="18"/>
      <c r="E174" s="36"/>
      <c r="F174" s="20"/>
      <c r="G174" s="21" t="str">
        <f aca="false">IF(OR(E174="",F174=""),"",E174*F174)</f>
        <v/>
      </c>
      <c r="H174" s="18"/>
    </row>
    <row r="175" customFormat="false" ht="15" hidden="false" customHeight="false" outlineLevel="0" collapsed="false">
      <c r="A175" s="18"/>
      <c r="B175" s="17"/>
      <c r="C175" s="18"/>
      <c r="D175" s="18"/>
      <c r="E175" s="36"/>
      <c r="F175" s="20"/>
      <c r="G175" s="21" t="str">
        <f aca="false">IF(OR(E175="",F175=""),"",E175*F175)</f>
        <v/>
      </c>
      <c r="H175" s="18"/>
    </row>
    <row r="176" customFormat="false" ht="15" hidden="false" customHeight="false" outlineLevel="0" collapsed="false">
      <c r="A176" s="18"/>
      <c r="B176" s="17"/>
      <c r="C176" s="18"/>
      <c r="D176" s="18"/>
      <c r="E176" s="36"/>
      <c r="F176" s="20"/>
      <c r="G176" s="21" t="str">
        <f aca="false">IF(OR(E176="",F176=""),"",E176*F176)</f>
        <v/>
      </c>
      <c r="H176" s="18"/>
    </row>
    <row r="177" customFormat="false" ht="15" hidden="false" customHeight="false" outlineLevel="0" collapsed="false">
      <c r="A177" s="18"/>
      <c r="B177" s="17"/>
      <c r="C177" s="18"/>
      <c r="D177" s="18"/>
      <c r="E177" s="36"/>
      <c r="F177" s="20"/>
      <c r="G177" s="21" t="str">
        <f aca="false">IF(OR(E177="",F177=""),"",E177*F177)</f>
        <v/>
      </c>
      <c r="H177" s="18"/>
    </row>
    <row r="178" customFormat="false" ht="15" hidden="false" customHeight="false" outlineLevel="0" collapsed="false">
      <c r="A178" s="18"/>
      <c r="B178" s="17"/>
      <c r="C178" s="18"/>
      <c r="D178" s="18"/>
      <c r="E178" s="36"/>
      <c r="F178" s="20"/>
      <c r="G178" s="21" t="str">
        <f aca="false">IF(OR(E178="",F178=""),"",E178*F178)</f>
        <v/>
      </c>
      <c r="H178" s="18"/>
    </row>
    <row r="179" customFormat="false" ht="15" hidden="false" customHeight="false" outlineLevel="0" collapsed="false">
      <c r="A179" s="18"/>
      <c r="B179" s="17"/>
      <c r="C179" s="18"/>
      <c r="D179" s="18"/>
      <c r="E179" s="36"/>
      <c r="F179" s="20"/>
      <c r="G179" s="21" t="str">
        <f aca="false">IF(OR(E179="",F179=""),"",E179*F179)</f>
        <v/>
      </c>
      <c r="H179" s="18"/>
    </row>
    <row r="180" customFormat="false" ht="15" hidden="false" customHeight="false" outlineLevel="0" collapsed="false">
      <c r="A180" s="18"/>
      <c r="B180" s="17"/>
      <c r="C180" s="18"/>
      <c r="D180" s="18"/>
      <c r="E180" s="36"/>
      <c r="F180" s="20"/>
      <c r="G180" s="21" t="str">
        <f aca="false">IF(OR(E180="",F180=""),"",E180*F180)</f>
        <v/>
      </c>
      <c r="H180" s="18"/>
    </row>
    <row r="181" customFormat="false" ht="15" hidden="false" customHeight="false" outlineLevel="0" collapsed="false">
      <c r="A181" s="18"/>
      <c r="B181" s="17"/>
      <c r="C181" s="18"/>
      <c r="D181" s="18"/>
      <c r="E181" s="36"/>
      <c r="F181" s="20"/>
      <c r="G181" s="21" t="str">
        <f aca="false">IF(OR(E181="",F181=""),"",E181*F181)</f>
        <v/>
      </c>
      <c r="H181" s="18"/>
    </row>
    <row r="182" customFormat="false" ht="15" hidden="false" customHeight="false" outlineLevel="0" collapsed="false">
      <c r="A182" s="18"/>
      <c r="B182" s="17"/>
      <c r="C182" s="18"/>
      <c r="D182" s="18"/>
      <c r="E182" s="36"/>
      <c r="F182" s="20"/>
      <c r="G182" s="21" t="str">
        <f aca="false">IF(OR(E182="",F182=""),"",E182*F182)</f>
        <v/>
      </c>
      <c r="H182" s="18"/>
    </row>
    <row r="183" customFormat="false" ht="15" hidden="false" customHeight="false" outlineLevel="0" collapsed="false">
      <c r="A183" s="18"/>
      <c r="B183" s="17"/>
      <c r="C183" s="18"/>
      <c r="D183" s="18"/>
      <c r="E183" s="36"/>
      <c r="F183" s="20"/>
      <c r="G183" s="21" t="str">
        <f aca="false">IF(OR(E183="",F183=""),"",E183*F183)</f>
        <v/>
      </c>
      <c r="H183" s="18"/>
    </row>
    <row r="184" customFormat="false" ht="15" hidden="false" customHeight="false" outlineLevel="0" collapsed="false">
      <c r="A184" s="18"/>
      <c r="B184" s="17"/>
      <c r="C184" s="18"/>
      <c r="D184" s="18"/>
      <c r="E184" s="36"/>
      <c r="F184" s="20"/>
      <c r="G184" s="21" t="str">
        <f aca="false">IF(OR(E184="",F184=""),"",E184*F184)</f>
        <v/>
      </c>
      <c r="H184" s="18"/>
    </row>
    <row r="185" customFormat="false" ht="15" hidden="false" customHeight="false" outlineLevel="0" collapsed="false">
      <c r="A185" s="18"/>
      <c r="B185" s="17"/>
      <c r="C185" s="18"/>
      <c r="D185" s="18"/>
      <c r="E185" s="36"/>
      <c r="F185" s="20"/>
      <c r="G185" s="21" t="str">
        <f aca="false">IF(OR(E185="",F185=""),"",E185*F185)</f>
        <v/>
      </c>
      <c r="H185" s="18"/>
    </row>
    <row r="186" customFormat="false" ht="15" hidden="false" customHeight="false" outlineLevel="0" collapsed="false">
      <c r="A186" s="18"/>
      <c r="B186" s="17"/>
      <c r="C186" s="18"/>
      <c r="D186" s="18"/>
      <c r="E186" s="36"/>
      <c r="F186" s="20"/>
      <c r="G186" s="21" t="str">
        <f aca="false">IF(OR(E186="",F186=""),"",E186*F186)</f>
        <v/>
      </c>
      <c r="H186" s="18"/>
    </row>
    <row r="187" customFormat="false" ht="15" hidden="false" customHeight="false" outlineLevel="0" collapsed="false">
      <c r="A187" s="18"/>
      <c r="B187" s="17"/>
      <c r="C187" s="18"/>
      <c r="D187" s="18"/>
      <c r="E187" s="36"/>
      <c r="F187" s="20"/>
      <c r="G187" s="21" t="str">
        <f aca="false">IF(OR(E187="",F187=""),"",E187*F187)</f>
        <v/>
      </c>
      <c r="H187" s="18"/>
    </row>
    <row r="188" customFormat="false" ht="15" hidden="false" customHeight="false" outlineLevel="0" collapsed="false">
      <c r="A188" s="18"/>
      <c r="B188" s="17"/>
      <c r="C188" s="18"/>
      <c r="D188" s="18"/>
      <c r="E188" s="36"/>
      <c r="F188" s="20"/>
      <c r="G188" s="21" t="str">
        <f aca="false">IF(OR(E188="",F188=""),"",E188*F188)</f>
        <v/>
      </c>
      <c r="H188" s="18"/>
    </row>
    <row r="189" customFormat="false" ht="15" hidden="false" customHeight="false" outlineLevel="0" collapsed="false">
      <c r="A189" s="18"/>
      <c r="B189" s="17"/>
      <c r="C189" s="18"/>
      <c r="D189" s="18"/>
      <c r="E189" s="36"/>
      <c r="F189" s="20"/>
      <c r="G189" s="21" t="str">
        <f aca="false">IF(OR(E189="",F189=""),"",E189*F189)</f>
        <v/>
      </c>
      <c r="H189" s="18"/>
    </row>
    <row r="190" customFormat="false" ht="15" hidden="false" customHeight="false" outlineLevel="0" collapsed="false">
      <c r="A190" s="18"/>
      <c r="B190" s="17"/>
      <c r="C190" s="18"/>
      <c r="D190" s="18"/>
      <c r="E190" s="36"/>
      <c r="F190" s="20"/>
      <c r="G190" s="21" t="str">
        <f aca="false">IF(OR(E190="",F190=""),"",E190*F190)</f>
        <v/>
      </c>
      <c r="H190" s="18"/>
    </row>
    <row r="191" customFormat="false" ht="15" hidden="false" customHeight="false" outlineLevel="0" collapsed="false">
      <c r="A191" s="18"/>
      <c r="B191" s="17"/>
      <c r="C191" s="18"/>
      <c r="D191" s="18"/>
      <c r="E191" s="36"/>
      <c r="F191" s="20"/>
      <c r="G191" s="21" t="str">
        <f aca="false">IF(OR(E191="",F191=""),"",E191*F191)</f>
        <v/>
      </c>
      <c r="H191" s="18"/>
    </row>
    <row r="192" customFormat="false" ht="15" hidden="false" customHeight="false" outlineLevel="0" collapsed="false">
      <c r="A192" s="18"/>
      <c r="B192" s="17"/>
      <c r="C192" s="18"/>
      <c r="D192" s="18"/>
      <c r="E192" s="36"/>
      <c r="F192" s="20"/>
      <c r="G192" s="21" t="str">
        <f aca="false">IF(OR(E192="",F192=""),"",E192*F192)</f>
        <v/>
      </c>
      <c r="H192" s="18"/>
    </row>
    <row r="193" customFormat="false" ht="15" hidden="false" customHeight="false" outlineLevel="0" collapsed="false">
      <c r="A193" s="18"/>
      <c r="B193" s="17"/>
      <c r="C193" s="18"/>
      <c r="D193" s="18"/>
      <c r="E193" s="36"/>
      <c r="F193" s="20"/>
      <c r="G193" s="21" t="str">
        <f aca="false">IF(OR(E193="",F193=""),"",E193*F193)</f>
        <v/>
      </c>
      <c r="H193" s="18"/>
    </row>
    <row r="194" customFormat="false" ht="15" hidden="false" customHeight="false" outlineLevel="0" collapsed="false">
      <c r="A194" s="18"/>
      <c r="B194" s="17"/>
      <c r="C194" s="18"/>
      <c r="D194" s="18"/>
      <c r="E194" s="36"/>
      <c r="F194" s="20"/>
      <c r="G194" s="21" t="str">
        <f aca="false">IF(OR(E194="",F194=""),"",E194*F194)</f>
        <v/>
      </c>
      <c r="H194" s="18"/>
    </row>
    <row r="195" customFormat="false" ht="15" hidden="false" customHeight="false" outlineLevel="0" collapsed="false">
      <c r="A195" s="18"/>
      <c r="B195" s="17"/>
      <c r="C195" s="18"/>
      <c r="D195" s="18"/>
      <c r="E195" s="36"/>
      <c r="F195" s="20"/>
      <c r="G195" s="21" t="str">
        <f aca="false">IF(OR(E195="",F195=""),"",E195*F195)</f>
        <v/>
      </c>
      <c r="H195" s="18"/>
    </row>
    <row r="196" customFormat="false" ht="15" hidden="false" customHeight="false" outlineLevel="0" collapsed="false">
      <c r="A196" s="18"/>
      <c r="B196" s="17"/>
      <c r="C196" s="18"/>
      <c r="D196" s="18"/>
      <c r="E196" s="36"/>
      <c r="F196" s="20"/>
      <c r="G196" s="21" t="str">
        <f aca="false">IF(OR(E196="",F196=""),"",E196*F196)</f>
        <v/>
      </c>
      <c r="H196" s="18"/>
    </row>
    <row r="197" customFormat="false" ht="15" hidden="false" customHeight="false" outlineLevel="0" collapsed="false">
      <c r="A197" s="18"/>
      <c r="B197" s="17"/>
      <c r="C197" s="18"/>
      <c r="D197" s="18"/>
      <c r="E197" s="36"/>
      <c r="F197" s="20"/>
      <c r="G197" s="21" t="str">
        <f aca="false">IF(OR(E197="",F197=""),"",E197*F197)</f>
        <v/>
      </c>
      <c r="H197" s="18"/>
    </row>
    <row r="198" customFormat="false" ht="15" hidden="false" customHeight="false" outlineLevel="0" collapsed="false">
      <c r="A198" s="18"/>
      <c r="B198" s="17"/>
      <c r="C198" s="18"/>
      <c r="D198" s="18"/>
      <c r="E198" s="36"/>
      <c r="F198" s="20"/>
      <c r="G198" s="21" t="str">
        <f aca="false">IF(OR(E198="",F198=""),"",E198*F198)</f>
        <v/>
      </c>
      <c r="H198" s="18"/>
    </row>
    <row r="199" customFormat="false" ht="15" hidden="false" customHeight="false" outlineLevel="0" collapsed="false">
      <c r="A199" s="18"/>
      <c r="B199" s="17"/>
      <c r="C199" s="18"/>
      <c r="D199" s="18"/>
      <c r="E199" s="36"/>
      <c r="F199" s="20"/>
      <c r="G199" s="21" t="str">
        <f aca="false">IF(OR(E199="",F199=""),"",E199*F199)</f>
        <v/>
      </c>
      <c r="H199" s="18"/>
    </row>
    <row r="200" customFormat="false" ht="15" hidden="false" customHeight="false" outlineLevel="0" collapsed="false">
      <c r="A200" s="18"/>
      <c r="B200" s="17"/>
      <c r="C200" s="18"/>
      <c r="D200" s="18"/>
      <c r="E200" s="36"/>
      <c r="F200" s="20"/>
      <c r="G200" s="21" t="str">
        <f aca="false">IF(OR(E200="",F200=""),"",E200*F200)</f>
        <v/>
      </c>
      <c r="H200" s="18"/>
    </row>
    <row r="201" customFormat="false" ht="15" hidden="false" customHeight="false" outlineLevel="0" collapsed="false">
      <c r="A201" s="18"/>
      <c r="B201" s="17"/>
      <c r="C201" s="18"/>
      <c r="D201" s="18"/>
      <c r="E201" s="36"/>
      <c r="F201" s="20"/>
      <c r="G201" s="21" t="str">
        <f aca="false">IF(OR(E201="",F201=""),"",E201*F201)</f>
        <v/>
      </c>
      <c r="H201" s="18"/>
    </row>
    <row r="202" customFormat="false" ht="15" hidden="false" customHeight="false" outlineLevel="0" collapsed="false">
      <c r="A202" s="18"/>
      <c r="B202" s="17"/>
      <c r="C202" s="18"/>
      <c r="D202" s="18"/>
      <c r="E202" s="36"/>
      <c r="F202" s="20"/>
      <c r="G202" s="21" t="str">
        <f aca="false">IF(OR(E202="",F202=""),"",E202*F202)</f>
        <v/>
      </c>
      <c r="H202" s="18"/>
    </row>
    <row r="203" customFormat="false" ht="15" hidden="false" customHeight="false" outlineLevel="0" collapsed="false">
      <c r="A203" s="18"/>
      <c r="B203" s="17"/>
      <c r="C203" s="18"/>
      <c r="D203" s="18"/>
      <c r="E203" s="36"/>
      <c r="F203" s="20"/>
      <c r="G203" s="21" t="str">
        <f aca="false">IF(OR(E203="",F203=""),"",E203*F203)</f>
        <v/>
      </c>
      <c r="H203" s="18"/>
    </row>
    <row r="204" customFormat="false" ht="15" hidden="false" customHeight="false" outlineLevel="0" collapsed="false">
      <c r="A204" s="18"/>
      <c r="B204" s="17"/>
      <c r="C204" s="18"/>
      <c r="D204" s="18"/>
      <c r="E204" s="36"/>
      <c r="F204" s="20"/>
      <c r="G204" s="21" t="str">
        <f aca="false">IF(OR(E204="",F204=""),"",E204*F204)</f>
        <v/>
      </c>
      <c r="H204" s="18"/>
    </row>
    <row r="205" customFormat="false" ht="15" hidden="false" customHeight="false" outlineLevel="0" collapsed="false">
      <c r="A205" s="18"/>
      <c r="B205" s="17"/>
      <c r="C205" s="18"/>
      <c r="D205" s="18"/>
      <c r="E205" s="36"/>
      <c r="F205" s="20"/>
      <c r="G205" s="21" t="str">
        <f aca="false">IF(OR(E205="",F205=""),"",E205*F205)</f>
        <v/>
      </c>
      <c r="H205" s="18"/>
    </row>
    <row r="206" customFormat="false" ht="15" hidden="false" customHeight="false" outlineLevel="0" collapsed="false">
      <c r="A206" s="18"/>
      <c r="B206" s="17"/>
      <c r="C206" s="18"/>
      <c r="D206" s="18"/>
      <c r="E206" s="36"/>
      <c r="F206" s="20"/>
      <c r="G206" s="21" t="str">
        <f aca="false">IF(OR(E206="",F206=""),"",E206*F206)</f>
        <v/>
      </c>
      <c r="H206" s="18"/>
    </row>
  </sheetData>
  <mergeCells count="6">
    <mergeCell ref="A1:H1"/>
    <mergeCell ref="A2:H2"/>
    <mergeCell ref="A4:B4"/>
    <mergeCell ref="C4:D4"/>
    <mergeCell ref="A5:B5"/>
    <mergeCell ref="C5:D5"/>
  </mergeCells>
  <dataValidations count="1">
    <dataValidation allowBlank="true" errorStyle="stop" operator="between" showDropDown="false" showErrorMessage="false" showInputMessage="false" sqref="A7:A206" type="list">
      <formula1>Listes!$A$5:$A$16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8"/>
  </cols>
  <sheetData>
    <row r="1" customFormat="false" ht="27.75" hidden="false" customHeight="true" outlineLevel="0" collapsed="false">
      <c r="A1" s="1" t="s">
        <v>88</v>
      </c>
      <c r="B1" s="1"/>
    </row>
    <row r="2" customFormat="false" ht="25.5" hidden="false" customHeight="true" outlineLevel="0" collapsed="false">
      <c r="A2" s="2" t="s">
        <v>89</v>
      </c>
      <c r="B2" s="2"/>
    </row>
    <row r="4" customFormat="false" ht="15" hidden="false" customHeight="false" outlineLevel="0" collapsed="false">
      <c r="A4" s="37" t="s">
        <v>90</v>
      </c>
      <c r="B4" s="37" t="s">
        <v>91</v>
      </c>
    </row>
    <row r="5" customFormat="false" ht="15" hidden="false" customHeight="false" outlineLevel="0" collapsed="false">
      <c r="A5" s="18" t="s">
        <v>92</v>
      </c>
      <c r="B5" s="18" t="s">
        <v>30</v>
      </c>
    </row>
    <row r="6" customFormat="false" ht="15" hidden="false" customHeight="false" outlineLevel="0" collapsed="false">
      <c r="A6" s="18" t="s">
        <v>29</v>
      </c>
      <c r="B6" s="18" t="s">
        <v>32</v>
      </c>
    </row>
    <row r="7" customFormat="false" ht="15" hidden="false" customHeight="false" outlineLevel="0" collapsed="false">
      <c r="A7" s="18" t="s">
        <v>62</v>
      </c>
      <c r="B7" s="18" t="s">
        <v>35</v>
      </c>
    </row>
    <row r="8" customFormat="false" ht="15" hidden="false" customHeight="false" outlineLevel="0" collapsed="false">
      <c r="A8" s="18" t="s">
        <v>93</v>
      </c>
      <c r="B8" s="18" t="s">
        <v>55</v>
      </c>
    </row>
    <row r="9" customFormat="false" ht="15" hidden="false" customHeight="false" outlineLevel="0" collapsed="false">
      <c r="A9" s="18" t="s">
        <v>64</v>
      </c>
      <c r="B9" s="18" t="s">
        <v>56</v>
      </c>
    </row>
    <row r="10" customFormat="false" ht="15" hidden="false" customHeight="false" outlineLevel="0" collapsed="false">
      <c r="A10" s="18" t="s">
        <v>94</v>
      </c>
      <c r="B10" s="18" t="s">
        <v>95</v>
      </c>
    </row>
    <row r="11" customFormat="false" ht="15" hidden="false" customHeight="false" outlineLevel="0" collapsed="false">
      <c r="A11" s="18"/>
      <c r="B11" s="18"/>
    </row>
    <row r="12" customFormat="false" ht="15" hidden="false" customHeight="false" outlineLevel="0" collapsed="false">
      <c r="A12" s="18"/>
      <c r="B12" s="18"/>
    </row>
    <row r="13" customFormat="false" ht="15" hidden="false" customHeight="false" outlineLevel="0" collapsed="false">
      <c r="A13" s="18"/>
    </row>
    <row r="14" customFormat="false" ht="15" hidden="false" customHeight="false" outlineLevel="0" collapsed="false">
      <c r="A14" s="18"/>
    </row>
    <row r="15" customFormat="false" ht="15" hidden="false" customHeight="false" outlineLevel="0" collapsed="false">
      <c r="A15" s="18"/>
    </row>
    <row r="16" customFormat="false" ht="15" hidden="false" customHeight="false" outlineLevel="0" collapsed="false">
      <c r="A16" s="18"/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2026-07-28T16:14:18Z</dcterms:created>
  <dc:creator>openpyxl</dc:creator>
  <dc:description/>
  <dc:language>en-US</dc:language>
  <cp:lastModifiedBy/>
  <dcterms:modified xsi:type="dcterms:W3CDTF">2026-07-28T16:14:18Z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