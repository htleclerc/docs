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du don" sheetId="1" state="visible" r:id="rId3"/>
    <sheet name="Comparati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<sst xmlns="http://schemas.openxmlformats.org/spreadsheetml/2006/main" count="58" uniqueCount="54">
  <si>
    <t xml:space="preserve">BUDGET PAR DON — LISTE D'ACHATS</t>
  </si>
  <si>
    <t xml:space="preserve">Préparez ici le budget d'un don : les articles à acheter, l'unité, la quantité et le prix unitaire (en € OU en FCFA, une seule des deux colonnes). Le montant total en bas vous donne l'enveloppe à envoyer à la logistique. La ligne 9 est un exemple.</t>
  </si>
  <si>
    <t xml:space="preserve">Campagne / don :</t>
  </si>
  <si>
    <t xml:space="preserve">Noël 2025</t>
  </si>
  <si>
    <t xml:space="preserve">Date d'envoi prévue :</t>
  </si>
  <si>
    <t xml:space="preserve">Destination :</t>
  </si>
  <si>
    <t xml:space="preserve">Orphelinat Sainte-Marie, Cotonou</t>
  </si>
  <si>
    <t xml:space="preserve">Taux (1 € = X FCFA) :</t>
  </si>
  <si>
    <t xml:space="preserve">BUDGET TOTAL DU DON (€)</t>
  </si>
  <si>
    <t xml:space="preserve">BUDGET TOTAL (FCFA)</t>
  </si>
  <si>
    <t xml:space="preserve">NOMBRE D'ARTICLES</t>
  </si>
  <si>
    <t xml:space="preserve">Article à acheter</t>
  </si>
  <si>
    <t xml:space="preserve">Unité</t>
  </si>
  <si>
    <t xml:space="preserve">Quantité</t>
  </si>
  <si>
    <t xml:space="preserve">Prix unitaire (€)</t>
  </si>
  <si>
    <t xml:space="preserve">Prix unitaire (FCFA)</t>
  </si>
  <si>
    <t xml:space="preserve">Montant (€)</t>
  </si>
  <si>
    <t xml:space="preserve">Montant (FCFA)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</si>
  <si>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</si>
  <si>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</si>
  <si>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</si>
  <si>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</si>
  <si>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</si>
  <si>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</si>
  <si>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</si>
  <si>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</si>
  <si>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</t>
  </si>
  <si>
    <t xml:space="preserve">bidon 1 L</t>
  </si>
  <si>
    <t xml:space="preserve">Savon</t>
  </si>
  <si>
    <t xml:space="preserve">Vêtements enfant</t>
  </si>
  <si>
    <t xml:space="preserve">lot</t>
  </si>
  <si>
    <t xml:space="preserve">TOTAL — ENVELOPPE À ENVOYER</t>
  </si>
  <si>
    <t xml:space="preserve">COMPARATIF BUDGET PRÉVU / DÉPENSES RÉELLES</t>
  </si>
  <si>
    <t xml:space="preserve">La partie « Prévu » se remplit toute seule depuis l'onglet Budget du don. Après les achats, saisissez la quantité et le prix réellement payés (en € OU en FCFA) : les écarts se calculent automatiquement. Écart en vert = économie, en rouge = dépassement.</t>
  </si>
  <si>
    <t xml:space="preserve">BUDGET PRÉVU (€)</t>
  </si>
  <si>
    <t xml:space="preserve">DÉPENSES RÉELLES (€)</t>
  </si>
  <si>
    <t xml:space="preserve">ÉCART GLOBAL (€)</t>
  </si>
  <si>
    <t xml:space="preserve">% DU BUDGET DÉPENSÉ</t>
  </si>
  <si>
    <t xml:space="preserve">BUDGET PRÉVU (automatique)</t>
  </si>
  <si>
    <t xml:space="preserve">DÉPENSES RÉELLES (à saisir)</t>
  </si>
  <si>
    <t xml:space="preserve">ANALYSE (automatique)</t>
  </si>
  <si>
    <t xml:space="preserve">Article</t>
  </si>
  <si>
    <t xml:space="preserve">Qté prévue</t>
  </si>
  <si>
    <t xml:space="preserve">PU prévu (€)</t>
  </si>
  <si>
    <t xml:space="preserve">Budget prévu (€)</t>
  </si>
  <si>
    <t xml:space="preserve">Qté réelle</t>
  </si>
  <si>
    <t xml:space="preserve">PU réel (€)</t>
  </si>
  <si>
    <t xml:space="preserve">PU réel (FCFA)</t>
  </si>
  <si>
    <t xml:space="preserve">Dépense réelle (€)</t>
  </si>
  <si>
    <t xml:space="preserve">Écart (€)</t>
  </si>
  <si>
    <t xml:space="preserve">Écart de prix unitaire</t>
  </si>
  <si>
    <t xml:space="preserve">Commentaire / analyse</t>
  </si>
  <si>
    <t xml:space="preserve">Prix du riz en hausse depuis la dernière campagne</t>
  </si>
  <si>
    <t xml:space="preserve">TOTAL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</si>
</sst>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.000"/>
    <numFmt numFmtId="167" formatCode="#,##0.00&quot; €&quot;"/>
    <numFmt numFmtId="168" formatCode="#,##0&quot; FCFA&quot;"/>
    <numFmt numFmtId="169" formatCode="#,##0"/>
    <numFmt numFmtId="170" formatCode="0.0%"/>
    <numFmt numFmtId="171" formatCode="\+0.0%;\-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FFF2CC"/>
        <bgColor rgb="FFFDEACC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45B84B"/>
        <bgColor rgb="FF33CCCC"/>
      </patternFill>
    </fill>
    <fill>
      <patternFill patternType="solid">
        <fgColor rgb="FF6B7280"/>
        <bgColor rgb="FF808080"/>
      </patternFill>
    </fill>
    <fill>
      <patternFill patternType="solid">
        <fgColor rgb="FFF9931D"/>
        <bgColor rgb="FFFF8080"/>
      </patternFill>
    </fill>
    <fill>
      <patternFill patternType="solid">
        <fgColor rgb="FF94268F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5D5D5"/>
        </patternFill>
      </fill>
    </dxf>
    <dxf>
      <fill>
        <patternFill>
          <bgColor rgb="FFD1E7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9931D"/>
      <rgbColor rgb="FFFF6600"/>
      <rgbColor rgb="FF6B7280"/>
      <rgbColor rgb="FF999999"/>
      <rgbColor rgb="FF003366"/>
      <rgbColor rgb="FF45B84B"/>
      <rgbColor rgb="FF003300"/>
      <rgbColor rgb="FF555555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2</v>
      </c>
      <c r="B3" s="4" t="s">
        <v>3</v>
      </c>
      <c r="C3" s="4"/>
      <c r="D3" s="3" t="s">
        <v>4</v>
      </c>
      <c r="E3" s="5" t="n">
        <v>45996</v>
      </c>
    </row>
    <row r="4" customFormat="false" ht="15" hidden="false" customHeight="false" outlineLevel="0" collapsed="false">
      <c r="A4" s="3" t="s">
        <v>5</v>
      </c>
      <c r="B4" s="4" t="s">
        <v>6</v>
      </c>
      <c r="C4" s="4"/>
      <c r="F4" s="6" t="s">
        <v>7</v>
      </c>
      <c r="G4" s="7" t="n">
        <v>655.957</v>
      </c>
    </row>
    <row r="6" customFormat="false" ht="15" hidden="false" customHeight="false" outlineLevel="0" collapsed="false">
      <c r="A6" s="8" t="s">
        <v>8</v>
      </c>
      <c r="B6" s="8"/>
      <c r="C6" s="8" t="s">
        <v>9</v>
      </c>
      <c r="D6" s="8"/>
      <c r="E6" s="8" t="s">
        <v>10</v>
      </c>
      <c r="F6" s="8"/>
    </row>
    <row r="7" customFormat="false" ht="21.75" hidden="false" customHeight="true" outlineLevel="0" collapsed="false">
      <c r="A7" s="9" t="n">
        <f aca="false">SUM(F9:F48)</f>
        <v>182.938820684892</v>
      </c>
      <c r="B7" s="9"/>
      <c r="C7" s="10" t="n">
        <f aca="false">SUM(G9:G48)</f>
        <v>120000</v>
      </c>
      <c r="D7" s="10"/>
      <c r="E7" s="11" t="n">
        <f aca="false">COUNTA(A9:A48)</f>
        <v>8</v>
      </c>
      <c r="F7" s="11"/>
    </row>
    <row r="8" customFormat="false" ht="27.75" hidden="false" customHeight="true" outlineLevel="0" collapsed="false">
      <c r="A8" s="12" t="s">
        <v>11</v>
      </c>
      <c r="B8" s="12" t="s">
        <v>12</v>
      </c>
      <c r="C8" s="12" t="s">
        <v>13</v>
      </c>
      <c r="D8" s="12" t="s">
        <v>14</v>
      </c>
      <c r="E8" s="12" t="s">
        <v>15</v>
      </c>
      <c r="F8" s="12" t="s">
        <v>16</v>
      </c>
      <c r="G8" s="12" t="s">
        <v>17</v>
      </c>
    </row>
    <row r="9" customFormat="false" ht="15" hidden="false" customHeight="false" outlineLevel="0" collapsed="false">
      <c r="A9" s="4" t="s">
        <v>18</v>
      </c>
      <c r="B9" s="13" t="s">
        <v>19</v>
      </c>
      <c r="C9" s="14" t="n">
        <v>10</v>
      </c>
      <c r="D9" s="15"/>
      <c r="E9" s="16" t="n">
        <v>12000</v>
      </c>
      <c r="F9" s="17" t="n">
        <f aca="false">IF(OR(A9="",C9="",AND(D9="",E9="")),"",C9*IF(D9&lt;&gt;"",D9,E9/'Budget du don'!$G$4))</f>
        <v>182.938820684892</v>
      </c>
      <c r="G9" s="18" t="n">
        <f aca="false">IF(F9="","",F9*'Budget du don'!$G$4)</f>
        <v>120000</v>
      </c>
    </row>
    <row r="10" customFormat="false" ht="15" hidden="false" customHeight="false" outlineLevel="0" collapsed="false">
      <c r="A10" s="4" t="s">
        <v>20</v>
      </c>
      <c r="B10" s="13" t="s">
        <v>21</v>
      </c>
      <c r="C10" s="14"/>
      <c r="D10" s="15"/>
      <c r="E10" s="16"/>
      <c r="F10" s="17" t="str">
        <f aca="false">IF(OR(A10="",C10="",AND(D10="",E10="")),"",C10*IF(D10&lt;&gt;"",D10,E10/'Budget du don'!$G$4))</f>
        <v/>
      </c>
      <c r="G10" s="18" t="str">
        <f aca="false">IF(F10="","",F10*'Budget du don'!$G$4)</f>
        <v/>
      </c>
    </row>
    <row r="11" customFormat="false" ht="15" hidden="false" customHeight="false" outlineLevel="0" collapsed="false">
      <c r="A11" s="4" t="s">
        <v>22</v>
      </c>
      <c r="B11" s="13" t="s">
        <v>21</v>
      </c>
      <c r="C11" s="14"/>
      <c r="D11" s="15"/>
      <c r="E11" s="16"/>
      <c r="F11" s="17" t="str">
        <f aca="false">IF(OR(A11="",C11="",AND(D11="",E11="")),"",C11*IF(D11&lt;&gt;"",D11,E11/'Budget du don'!$G$4))</f>
        <v/>
      </c>
      <c r="G11" s="18" t="str">
        <f aca="false">IF(F11="","",F11*'Budget du don'!$G$4)</f>
        <v/>
      </c>
    </row>
    <row r="12" customFormat="false" ht="15" hidden="false" customHeight="false" outlineLevel="0" collapsed="false">
      <c r="A12" s="4" t="s">
        <v>23</v>
      </c>
      <c r="B12" s="13" t="s">
        <v>21</v>
      </c>
      <c r="C12" s="14"/>
      <c r="D12" s="15"/>
      <c r="E12" s="16"/>
      <c r="F12" s="17" t="str">
        <f aca="false">IF(OR(A12="",C12="",AND(D12="",E12="")),"",C12*IF(D12&lt;&gt;"",D12,E12/'Budget du don'!$G$4))</f>
        <v/>
      </c>
      <c r="G12" s="18" t="str">
        <f aca="false">IF(F12="","",F12*'Budget du don'!$G$4)</f>
        <v/>
      </c>
    </row>
    <row r="13" customFormat="false" ht="15" hidden="false" customHeight="false" outlineLevel="0" collapsed="false">
      <c r="A13" s="4" t="s">
        <v>24</v>
      </c>
      <c r="B13" s="13" t="s">
        <v>25</v>
      </c>
      <c r="C13" s="14"/>
      <c r="D13" s="15"/>
      <c r="E13" s="16"/>
      <c r="F13" s="17" t="str">
        <f aca="false">IF(OR(A13="",C13="",AND(D13="",E13="")),"",C13*IF(D13&lt;&gt;"",D13,E13/'Budget du don'!$G$4))</f>
        <v/>
      </c>
      <c r="G13" s="18" t="str">
        <f aca="false">IF(F13="","",F13*'Budget du don'!$G$4)</f>
        <v/>
      </c>
    </row>
    <row r="14" customFormat="false" ht="15" hidden="false" customHeight="false" outlineLevel="0" collapsed="false">
      <c r="A14" s="4" t="s">
        <v>26</v>
      </c>
      <c r="B14" s="13" t="s">
        <v>27</v>
      </c>
      <c r="C14" s="14"/>
      <c r="D14" s="15"/>
      <c r="E14" s="16"/>
      <c r="F14" s="17" t="str">
        <f aca="false">IF(OR(A14="",C14="",AND(D14="",E14="")),"",C14*IF(D14&lt;&gt;"",D14,E14/'Budget du don'!$G$4))</f>
        <v/>
      </c>
      <c r="G14" s="18" t="str">
        <f aca="false">IF(F14="","",F14*'Budget du don'!$G$4)</f>
        <v/>
      </c>
    </row>
    <row r="15" customFormat="false" ht="15" hidden="false" customHeight="false" outlineLevel="0" collapsed="false">
      <c r="A15" s="4" t="s">
        <v>28</v>
      </c>
      <c r="B15" s="13" t="s">
        <v>21</v>
      </c>
      <c r="C15" s="14"/>
      <c r="D15" s="15"/>
      <c r="E15" s="16"/>
      <c r="F15" s="17" t="str">
        <f aca="false">IF(OR(A15="",C15="",AND(D15="",E15="")),"",C15*IF(D15&lt;&gt;"",D15,E15/'Budget du don'!$G$4))</f>
        <v/>
      </c>
      <c r="G15" s="18" t="str">
        <f aca="false">IF(F15="","",F15*'Budget du don'!$G$4)</f>
        <v/>
      </c>
    </row>
    <row r="16" customFormat="false" ht="15" hidden="false" customHeight="false" outlineLevel="0" collapsed="false">
      <c r="A16" s="4" t="s">
        <v>29</v>
      </c>
      <c r="B16" s="13" t="s">
        <v>30</v>
      </c>
      <c r="C16" s="14"/>
      <c r="D16" s="15"/>
      <c r="E16" s="16"/>
      <c r="F16" s="17" t="str">
        <f aca="false">IF(OR(A16="",C16="",AND(D16="",E16="")),"",C16*IF(D16&lt;&gt;"",D16,E16/'Budget du don'!$G$4))</f>
        <v/>
      </c>
      <c r="G16" s="18" t="str">
        <f aca="false">IF(F16="","",F16*'Budget du don'!$G$4)</f>
        <v/>
      </c>
    </row>
    <row r="17" customFormat="false" ht="15" hidden="false" customHeight="false" outlineLevel="0" collapsed="false">
      <c r="A17" s="4"/>
      <c r="B17" s="13"/>
      <c r="C17" s="14"/>
      <c r="D17" s="15"/>
      <c r="E17" s="16"/>
      <c r="F17" s="17" t="str">
        <f aca="false">IF(OR(A17="",C17="",AND(D17="",E17="")),"",C17*IF(D17&lt;&gt;"",D17,E17/'Budget du don'!$G$4))</f>
        <v/>
      </c>
      <c r="G17" s="18" t="str">
        <f aca="false">IF(F17="","",F17*'Budget du don'!$G$4)</f>
        <v/>
      </c>
    </row>
    <row r="18" customFormat="false" ht="15" hidden="false" customHeight="false" outlineLevel="0" collapsed="false">
      <c r="A18" s="4"/>
      <c r="B18" s="13"/>
      <c r="C18" s="14"/>
      <c r="D18" s="15"/>
      <c r="E18" s="16"/>
      <c r="F18" s="17" t="str">
        <f aca="false">IF(OR(A18="",C18="",AND(D18="",E18="")),"",C18*IF(D18&lt;&gt;"",D18,E18/'Budget du don'!$G$4))</f>
        <v/>
      </c>
      <c r="G18" s="18" t="str">
        <f aca="false">IF(F18="","",F18*'Budget du don'!$G$4)</f>
        <v/>
      </c>
    </row>
    <row r="19" customFormat="false" ht="15" hidden="false" customHeight="false" outlineLevel="0" collapsed="false">
      <c r="A19" s="4"/>
      <c r="B19" s="13"/>
      <c r="C19" s="14"/>
      <c r="D19" s="15"/>
      <c r="E19" s="16"/>
      <c r="F19" s="17" t="str">
        <f aca="false">IF(OR(A19="",C19="",AND(D19="",E19="")),"",C19*IF(D19&lt;&gt;"",D19,E19/'Budget du don'!$G$4))</f>
        <v/>
      </c>
      <c r="G19" s="18" t="str">
        <f aca="false">IF(F19="","",F19*'Budget du don'!$G$4)</f>
        <v/>
      </c>
    </row>
    <row r="20" customFormat="false" ht="15" hidden="false" customHeight="false" outlineLevel="0" collapsed="false">
      <c r="A20" s="4"/>
      <c r="B20" s="13"/>
      <c r="C20" s="14"/>
      <c r="D20" s="15"/>
      <c r="E20" s="16"/>
      <c r="F20" s="17" t="str">
        <f aca="false">IF(OR(A20="",C20="",AND(D20="",E20="")),"",C20*IF(D20&lt;&gt;"",D20,E20/'Budget du don'!$G$4))</f>
        <v/>
      </c>
      <c r="G20" s="18" t="str">
        <f aca="false">IF(F20="","",F20*'Budget du don'!$G$4)</f>
        <v/>
      </c>
    </row>
    <row r="21" customFormat="false" ht="15" hidden="false" customHeight="false" outlineLevel="0" collapsed="false">
      <c r="A21" s="4"/>
      <c r="B21" s="13"/>
      <c r="C21" s="14"/>
      <c r="D21" s="15"/>
      <c r="E21" s="16"/>
      <c r="F21" s="17" t="str">
        <f aca="false">IF(OR(A21="",C21="",AND(D21="",E21="")),"",C21*IF(D21&lt;&gt;"",D21,E21/'Budget du don'!$G$4))</f>
        <v/>
      </c>
      <c r="G21" s="18" t="str">
        <f aca="false">IF(F21="","",F21*'Budget du don'!$G$4)</f>
        <v/>
      </c>
    </row>
    <row r="22" customFormat="false" ht="15" hidden="false" customHeight="false" outlineLevel="0" collapsed="false">
      <c r="A22" s="4"/>
      <c r="B22" s="13"/>
      <c r="C22" s="14"/>
      <c r="D22" s="15"/>
      <c r="E22" s="16"/>
      <c r="F22" s="17" t="str">
        <f aca="false">IF(OR(A22="",C22="",AND(D22="",E22="")),"",C22*IF(D22&lt;&gt;"",D22,E22/'Budget du don'!$G$4))</f>
        <v/>
      </c>
      <c r="G22" s="18" t="str">
        <f aca="false">IF(F22="","",F22*'Budget du don'!$G$4)</f>
        <v/>
      </c>
    </row>
    <row r="23" customFormat="false" ht="15" hidden="false" customHeight="false" outlineLevel="0" collapsed="false">
      <c r="A23" s="4"/>
      <c r="B23" s="13"/>
      <c r="C23" s="14"/>
      <c r="D23" s="15"/>
      <c r="E23" s="16"/>
      <c r="F23" s="17" t="str">
        <f aca="false">IF(OR(A23="",C23="",AND(D23="",E23="")),"",C23*IF(D23&lt;&gt;"",D23,E23/'Budget du don'!$G$4))</f>
        <v/>
      </c>
      <c r="G23" s="18" t="str">
        <f aca="false">IF(F23="","",F23*'Budget du don'!$G$4)</f>
        <v/>
      </c>
    </row>
    <row r="24" customFormat="false" ht="15" hidden="false" customHeight="false" outlineLevel="0" collapsed="false">
      <c r="A24" s="4"/>
      <c r="B24" s="13"/>
      <c r="C24" s="14"/>
      <c r="D24" s="15"/>
      <c r="E24" s="16"/>
      <c r="F24" s="17" t="str">
        <f aca="false">IF(OR(A24="",C24="",AND(D24="",E24="")),"",C24*IF(D24&lt;&gt;"",D24,E24/'Budget du don'!$G$4))</f>
        <v/>
      </c>
      <c r="G24" s="18" t="str">
        <f aca="false">IF(F24="","",F24*'Budget du don'!$G$4)</f>
        <v/>
      </c>
    </row>
    <row r="25" customFormat="false" ht="15" hidden="false" customHeight="false" outlineLevel="0" collapsed="false">
      <c r="A25" s="4"/>
      <c r="B25" s="13"/>
      <c r="C25" s="14"/>
      <c r="D25" s="15"/>
      <c r="E25" s="16"/>
      <c r="F25" s="17" t="str">
        <f aca="false">IF(OR(A25="",C25="",AND(D25="",E25="")),"",C25*IF(D25&lt;&gt;"",D25,E25/'Budget du don'!$G$4))</f>
        <v/>
      </c>
      <c r="G25" s="18" t="str">
        <f aca="false">IF(F25="","",F25*'Budget du don'!$G$4)</f>
        <v/>
      </c>
    </row>
    <row r="26" customFormat="false" ht="15" hidden="false" customHeight="false" outlineLevel="0" collapsed="false">
      <c r="A26" s="4"/>
      <c r="B26" s="13"/>
      <c r="C26" s="14"/>
      <c r="D26" s="15"/>
      <c r="E26" s="16"/>
      <c r="F26" s="17" t="str">
        <f aca="false">IF(OR(A26="",C26="",AND(D26="",E26="")),"",C26*IF(D26&lt;&gt;"",D26,E26/'Budget du don'!$G$4))</f>
        <v/>
      </c>
      <c r="G26" s="18" t="str">
        <f aca="false">IF(F26="","",F26*'Budget du don'!$G$4)</f>
        <v/>
      </c>
    </row>
    <row r="27" customFormat="false" ht="15" hidden="false" customHeight="false" outlineLevel="0" collapsed="false">
      <c r="A27" s="4"/>
      <c r="B27" s="13"/>
      <c r="C27" s="14"/>
      <c r="D27" s="15"/>
      <c r="E27" s="16"/>
      <c r="F27" s="17" t="str">
        <f aca="false">IF(OR(A27="",C27="",AND(D27="",E27="")),"",C27*IF(D27&lt;&gt;"",D27,E27/'Budget du don'!$G$4))</f>
        <v/>
      </c>
      <c r="G27" s="18" t="str">
        <f aca="false">IF(F27="","",F27*'Budget du don'!$G$4)</f>
        <v/>
      </c>
    </row>
    <row r="28" customFormat="false" ht="15" hidden="false" customHeight="false" outlineLevel="0" collapsed="false">
      <c r="A28" s="4"/>
      <c r="B28" s="13"/>
      <c r="C28" s="14"/>
      <c r="D28" s="15"/>
      <c r="E28" s="16"/>
      <c r="F28" s="17" t="str">
        <f aca="false">IF(OR(A28="",C28="",AND(D28="",E28="")),"",C28*IF(D28&lt;&gt;"",D28,E28/'Budget du don'!$G$4))</f>
        <v/>
      </c>
      <c r="G28" s="18" t="str">
        <f aca="false">IF(F28="","",F28*'Budget du don'!$G$4)</f>
        <v/>
      </c>
    </row>
    <row r="29" customFormat="false" ht="15" hidden="false" customHeight="false" outlineLevel="0" collapsed="false">
      <c r="A29" s="4"/>
      <c r="B29" s="13"/>
      <c r="C29" s="14"/>
      <c r="D29" s="15"/>
      <c r="E29" s="16"/>
      <c r="F29" s="17" t="str">
        <f aca="false">IF(OR(A29="",C29="",AND(D29="",E29="")),"",C29*IF(D29&lt;&gt;"",D29,E29/'Budget du don'!$G$4))</f>
        <v/>
      </c>
      <c r="G29" s="18" t="str">
        <f aca="false">IF(F29="","",F29*'Budget du don'!$G$4)</f>
        <v/>
      </c>
    </row>
    <row r="30" customFormat="false" ht="15" hidden="false" customHeight="false" outlineLevel="0" collapsed="false">
      <c r="A30" s="4"/>
      <c r="B30" s="13"/>
      <c r="C30" s="14"/>
      <c r="D30" s="15"/>
      <c r="E30" s="16"/>
      <c r="F30" s="17" t="str">
        <f aca="false">IF(OR(A30="",C30="",AND(D30="",E30="")),"",C30*IF(D30&lt;&gt;"",D30,E30/'Budget du don'!$G$4))</f>
        <v/>
      </c>
      <c r="G30" s="18" t="str">
        <f aca="false">IF(F30="","",F30*'Budget du don'!$G$4)</f>
        <v/>
      </c>
    </row>
    <row r="31" customFormat="false" ht="15" hidden="false" customHeight="false" outlineLevel="0" collapsed="false">
      <c r="A31" s="4"/>
      <c r="B31" s="13"/>
      <c r="C31" s="14"/>
      <c r="D31" s="15"/>
      <c r="E31" s="16"/>
      <c r="F31" s="17" t="str">
        <f aca="false">IF(OR(A31="",C31="",AND(D31="",E31="")),"",C31*IF(D31&lt;&gt;"",D31,E31/'Budget du don'!$G$4))</f>
        <v/>
      </c>
      <c r="G31" s="18" t="str">
        <f aca="false">IF(F31="","",F31*'Budget du don'!$G$4)</f>
        <v/>
      </c>
    </row>
    <row r="32" customFormat="false" ht="15" hidden="false" customHeight="false" outlineLevel="0" collapsed="false">
      <c r="A32" s="4"/>
      <c r="B32" s="13"/>
      <c r="C32" s="14"/>
      <c r="D32" s="15"/>
      <c r="E32" s="16"/>
      <c r="F32" s="17" t="str">
        <f aca="false">IF(OR(A32="",C32="",AND(D32="",E32="")),"",C32*IF(D32&lt;&gt;"",D32,E32/'Budget du don'!$G$4))</f>
        <v/>
      </c>
      <c r="G32" s="18" t="str">
        <f aca="false">IF(F32="","",F32*'Budget du don'!$G$4)</f>
        <v/>
      </c>
    </row>
    <row r="33" customFormat="false" ht="15" hidden="false" customHeight="false" outlineLevel="0" collapsed="false">
      <c r="A33" s="4"/>
      <c r="B33" s="13"/>
      <c r="C33" s="14"/>
      <c r="D33" s="15"/>
      <c r="E33" s="16"/>
      <c r="F33" s="17" t="str">
        <f aca="false">IF(OR(A33="",C33="",AND(D33="",E33="")),"",C33*IF(D33&lt;&gt;"",D33,E33/'Budget du don'!$G$4))</f>
        <v/>
      </c>
      <c r="G33" s="18" t="str">
        <f aca="false">IF(F33="","",F33*'Budget du don'!$G$4)</f>
        <v/>
      </c>
    </row>
    <row r="34" customFormat="false" ht="15" hidden="false" customHeight="false" outlineLevel="0" collapsed="false">
      <c r="A34" s="4"/>
      <c r="B34" s="13"/>
      <c r="C34" s="14"/>
      <c r="D34" s="15"/>
      <c r="E34" s="16"/>
      <c r="F34" s="17" t="str">
        <f aca="false">IF(OR(A34="",C34="",AND(D34="",E34="")),"",C34*IF(D34&lt;&gt;"",D34,E34/'Budget du don'!$G$4))</f>
        <v/>
      </c>
      <c r="G34" s="18" t="str">
        <f aca="false">IF(F34="","",F34*'Budget du don'!$G$4)</f>
        <v/>
      </c>
    </row>
    <row r="35" customFormat="false" ht="15" hidden="false" customHeight="false" outlineLevel="0" collapsed="false">
      <c r="A35" s="4"/>
      <c r="B35" s="13"/>
      <c r="C35" s="14"/>
      <c r="D35" s="15"/>
      <c r="E35" s="16"/>
      <c r="F35" s="17" t="str">
        <f aca="false">IF(OR(A35="",C35="",AND(D35="",E35="")),"",C35*IF(D35&lt;&gt;"",D35,E35/'Budget du don'!$G$4))</f>
        <v/>
      </c>
      <c r="G35" s="18" t="str">
        <f aca="false">IF(F35="","",F35*'Budget du don'!$G$4)</f>
        <v/>
      </c>
    </row>
    <row r="36" customFormat="false" ht="15" hidden="false" customHeight="false" outlineLevel="0" collapsed="false">
      <c r="A36" s="4"/>
      <c r="B36" s="13"/>
      <c r="C36" s="14"/>
      <c r="D36" s="15"/>
      <c r="E36" s="16"/>
      <c r="F36" s="17" t="str">
        <f aca="false">IF(OR(A36="",C36="",AND(D36="",E36="")),"",C36*IF(D36&lt;&gt;"",D36,E36/'Budget du don'!$G$4))</f>
        <v/>
      </c>
      <c r="G36" s="18" t="str">
        <f aca="false">IF(F36="","",F36*'Budget du don'!$G$4)</f>
        <v/>
      </c>
    </row>
    <row r="37" customFormat="false" ht="15" hidden="false" customHeight="false" outlineLevel="0" collapsed="false">
      <c r="A37" s="4"/>
      <c r="B37" s="13"/>
      <c r="C37" s="14"/>
      <c r="D37" s="15"/>
      <c r="E37" s="16"/>
      <c r="F37" s="17" t="str">
        <f aca="false">IF(OR(A37="",C37="",AND(D37="",E37="")),"",C37*IF(D37&lt;&gt;"",D37,E37/'Budget du don'!$G$4))</f>
        <v/>
      </c>
      <c r="G37" s="18" t="str">
        <f aca="false">IF(F37="","",F37*'Budget du don'!$G$4)</f>
        <v/>
      </c>
    </row>
    <row r="38" customFormat="false" ht="15" hidden="false" customHeight="false" outlineLevel="0" collapsed="false">
      <c r="A38" s="4"/>
      <c r="B38" s="13"/>
      <c r="C38" s="14"/>
      <c r="D38" s="15"/>
      <c r="E38" s="16"/>
      <c r="F38" s="17" t="str">
        <f aca="false">IF(OR(A38="",C38="",AND(D38="",E38="")),"",C38*IF(D38&lt;&gt;"",D38,E38/'Budget du don'!$G$4))</f>
        <v/>
      </c>
      <c r="G38" s="18" t="str">
        <f aca="false">IF(F38="","",F38*'Budget du don'!$G$4)</f>
        <v/>
      </c>
    </row>
    <row r="39" customFormat="false" ht="15" hidden="false" customHeight="false" outlineLevel="0" collapsed="false">
      <c r="A39" s="4"/>
      <c r="B39" s="13"/>
      <c r="C39" s="14"/>
      <c r="D39" s="15"/>
      <c r="E39" s="16"/>
      <c r="F39" s="17" t="str">
        <f aca="false">IF(OR(A39="",C39="",AND(D39="",E39="")),"",C39*IF(D39&lt;&gt;"",D39,E39/'Budget du don'!$G$4))</f>
        <v/>
      </c>
      <c r="G39" s="18" t="str">
        <f aca="false">IF(F39="","",F39*'Budget du don'!$G$4)</f>
        <v/>
      </c>
    </row>
    <row r="40" customFormat="false" ht="15" hidden="false" customHeight="false" outlineLevel="0" collapsed="false">
      <c r="A40" s="4"/>
      <c r="B40" s="13"/>
      <c r="C40" s="14"/>
      <c r="D40" s="15"/>
      <c r="E40" s="16"/>
      <c r="F40" s="17" t="str">
        <f aca="false">IF(OR(A40="",C40="",AND(D40="",E40="")),"",C40*IF(D40&lt;&gt;"",D40,E40/'Budget du don'!$G$4))</f>
        <v/>
      </c>
      <c r="G40" s="18" t="str">
        <f aca="false">IF(F40="","",F40*'Budget du don'!$G$4)</f>
        <v/>
      </c>
    </row>
    <row r="41" customFormat="false" ht="15" hidden="false" customHeight="false" outlineLevel="0" collapsed="false">
      <c r="A41" s="4"/>
      <c r="B41" s="13"/>
      <c r="C41" s="14"/>
      <c r="D41" s="15"/>
      <c r="E41" s="16"/>
      <c r="F41" s="17" t="str">
        <f aca="false">IF(OR(A41="",C41="",AND(D41="",E41="")),"",C41*IF(D41&lt;&gt;"",D41,E41/'Budget du don'!$G$4))</f>
        <v/>
      </c>
      <c r="G41" s="18" t="str">
        <f aca="false">IF(F41="","",F41*'Budget du don'!$G$4)</f>
        <v/>
      </c>
    </row>
    <row r="42" customFormat="false" ht="15" hidden="false" customHeight="false" outlineLevel="0" collapsed="false">
      <c r="A42" s="4"/>
      <c r="B42" s="13"/>
      <c r="C42" s="14"/>
      <c r="D42" s="15"/>
      <c r="E42" s="16"/>
      <c r="F42" s="17" t="str">
        <f aca="false">IF(OR(A42="",C42="",AND(D42="",E42="")),"",C42*IF(D42&lt;&gt;"",D42,E42/'Budget du don'!$G$4))</f>
        <v/>
      </c>
      <c r="G42" s="18" t="str">
        <f aca="false">IF(F42="","",F42*'Budget du don'!$G$4)</f>
        <v/>
      </c>
    </row>
    <row r="43" customFormat="false" ht="15" hidden="false" customHeight="false" outlineLevel="0" collapsed="false">
      <c r="A43" s="4"/>
      <c r="B43" s="13"/>
      <c r="C43" s="14"/>
      <c r="D43" s="15"/>
      <c r="E43" s="16"/>
      <c r="F43" s="17" t="str">
        <f aca="false">IF(OR(A43="",C43="",AND(D43="",E43="")),"",C43*IF(D43&lt;&gt;"",D43,E43/'Budget du don'!$G$4))</f>
        <v/>
      </c>
      <c r="G43" s="18" t="str">
        <f aca="false">IF(F43="","",F43*'Budget du don'!$G$4)</f>
        <v/>
      </c>
    </row>
    <row r="44" customFormat="false" ht="15" hidden="false" customHeight="false" outlineLevel="0" collapsed="false">
      <c r="A44" s="4"/>
      <c r="B44" s="13"/>
      <c r="C44" s="14"/>
      <c r="D44" s="15"/>
      <c r="E44" s="16"/>
      <c r="F44" s="17" t="str">
        <f aca="false">IF(OR(A44="",C44="",AND(D44="",E44="")),"",C44*IF(D44&lt;&gt;"",D44,E44/'Budget du don'!$G$4))</f>
        <v/>
      </c>
      <c r="G44" s="18" t="str">
        <f aca="false">IF(F44="","",F44*'Budget du don'!$G$4)</f>
        <v/>
      </c>
    </row>
    <row r="45" customFormat="false" ht="15" hidden="false" customHeight="false" outlineLevel="0" collapsed="false">
      <c r="A45" s="4"/>
      <c r="B45" s="13"/>
      <c r="C45" s="14"/>
      <c r="D45" s="15"/>
      <c r="E45" s="16"/>
      <c r="F45" s="17" t="str">
        <f aca="false">IF(OR(A45="",C45="",AND(D45="",E45="")),"",C45*IF(D45&lt;&gt;"",D45,E45/'Budget du don'!$G$4))</f>
        <v/>
      </c>
      <c r="G45" s="18" t="str">
        <f aca="false">IF(F45="","",F45*'Budget du don'!$G$4)</f>
        <v/>
      </c>
    </row>
    <row r="46" customFormat="false" ht="15" hidden="false" customHeight="false" outlineLevel="0" collapsed="false">
      <c r="A46" s="4"/>
      <c r="B46" s="13"/>
      <c r="C46" s="14"/>
      <c r="D46" s="15"/>
      <c r="E46" s="16"/>
      <c r="F46" s="17" t="str">
        <f aca="false">IF(OR(A46="",C46="",AND(D46="",E46="")),"",C46*IF(D46&lt;&gt;"",D46,E46/'Budget du don'!$G$4))</f>
        <v/>
      </c>
      <c r="G46" s="18" t="str">
        <f aca="false">IF(F46="","",F46*'Budget du don'!$G$4)</f>
        <v/>
      </c>
    </row>
    <row r="47" customFormat="false" ht="15" hidden="false" customHeight="false" outlineLevel="0" collapsed="false">
      <c r="A47" s="4"/>
      <c r="B47" s="13"/>
      <c r="C47" s="14"/>
      <c r="D47" s="15"/>
      <c r="E47" s="16"/>
      <c r="F47" s="17" t="str">
        <f aca="false">IF(OR(A47="",C47="",AND(D47="",E47="")),"",C47*IF(D47&lt;&gt;"",D47,E47/'Budget du don'!$G$4))</f>
        <v/>
      </c>
      <c r="G47" s="18" t="str">
        <f aca="false">IF(F47="","",F47*'Budget du don'!$G$4)</f>
        <v/>
      </c>
    </row>
    <row r="48" customFormat="false" ht="15" hidden="false" customHeight="false" outlineLevel="0" collapsed="false">
      <c r="A48" s="4"/>
      <c r="B48" s="13"/>
      <c r="C48" s="14"/>
      <c r="D48" s="15"/>
      <c r="E48" s="16"/>
      <c r="F48" s="17" t="str">
        <f aca="false">IF(OR(A48="",C48="",AND(D48="",E48="")),"",C48*IF(D48&lt;&gt;"",D48,E48/'Budget du don'!$G$4))</f>
        <v/>
      </c>
      <c r="G48" s="18" t="str">
        <f aca="false">IF(F48="","",F48*'Budget du don'!$G$4)</f>
        <v/>
      </c>
    </row>
    <row r="49" customFormat="false" ht="21.75" hidden="false" customHeight="true" outlineLevel="0" collapsed="false">
      <c r="A49" s="19" t="s">
        <v>31</v>
      </c>
      <c r="B49" s="20"/>
      <c r="C49" s="20"/>
      <c r="D49" s="20"/>
      <c r="E49" s="20"/>
      <c r="F49" s="21" t="n">
        <f aca="false">SUM(F9:F48)</f>
        <v>182.938820684892</v>
      </c>
      <c r="G49" s="22" t="n">
        <f aca="false">SUM(G9:G48)</f>
        <v>120000</v>
      </c>
    </row>
  </sheetData>
  <mergeCells count="10">
    <mergeCell ref="A1:G1"/>
    <mergeCell ref="A2:G2"/>
    <mergeCell ref="B3:C3"/>
    <mergeCell ref="B4:C4"/>
    <mergeCell ref="A6:B6"/>
    <mergeCell ref="C6:D6"/>
    <mergeCell ref="E6:F6"/>
    <mergeCell ref="A7:B7"/>
    <mergeCell ref="C7:D7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27.7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8" t="s">
        <v>34</v>
      </c>
      <c r="B4" s="8"/>
      <c r="C4" s="8" t="s">
        <v>35</v>
      </c>
      <c r="D4" s="8"/>
      <c r="E4" s="8" t="s">
        <v>36</v>
      </c>
      <c r="F4" s="8"/>
      <c r="G4" s="8" t="s">
        <v>37</v>
      </c>
      <c r="H4" s="8"/>
    </row>
    <row r="5" customFormat="false" ht="21.75" hidden="false" customHeight="true" outlineLevel="0" collapsed="false">
      <c r="A5" s="23" t="n">
        <f aca="false">SUM(E9:E48)</f>
        <v>182.938820684892</v>
      </c>
      <c r="B5" s="23"/>
      <c r="C5" s="24" t="n">
        <f aca="false">SUM(I9:I48)</f>
        <v>195.134742063885</v>
      </c>
      <c r="D5" s="24"/>
      <c r="E5" s="9" t="n">
        <f aca="false">SUM(E9:E48)-SUM(I9:I48)</f>
        <v>-12.1959213789929</v>
      </c>
      <c r="F5" s="9"/>
      <c r="G5" s="25" t="n">
        <f aca="false">IF(SUM(E9:E48)=0,"",SUM(I9:I48)/SUM(E9:E48))</f>
        <v>1.06666666666667</v>
      </c>
      <c r="H5" s="25"/>
    </row>
    <row r="7" customFormat="false" ht="18" hidden="false" customHeight="true" outlineLevel="0" collapsed="false">
      <c r="A7" s="26" t="s">
        <v>38</v>
      </c>
      <c r="B7" s="26"/>
      <c r="C7" s="26"/>
      <c r="D7" s="26"/>
      <c r="E7" s="26"/>
      <c r="F7" s="27" t="s">
        <v>39</v>
      </c>
      <c r="G7" s="27"/>
      <c r="H7" s="27"/>
      <c r="I7" s="27"/>
      <c r="J7" s="28" t="s">
        <v>40</v>
      </c>
      <c r="K7" s="28"/>
      <c r="L7" s="28"/>
    </row>
    <row r="8" customFormat="false" ht="27.75" hidden="false" customHeight="true" outlineLevel="0" collapsed="false">
      <c r="A8" s="12" t="s">
        <v>41</v>
      </c>
      <c r="B8" s="12" t="s">
        <v>12</v>
      </c>
      <c r="C8" s="12" t="s">
        <v>42</v>
      </c>
      <c r="D8" s="12" t="s">
        <v>43</v>
      </c>
      <c r="E8" s="12" t="s">
        <v>44</v>
      </c>
      <c r="F8" s="12" t="s">
        <v>45</v>
      </c>
      <c r="G8" s="12" t="s">
        <v>46</v>
      </c>
      <c r="H8" s="12" t="s">
        <v>47</v>
      </c>
      <c r="I8" s="12" t="s">
        <v>48</v>
      </c>
      <c r="J8" s="12" t="s">
        <v>49</v>
      </c>
      <c r="K8" s="12" t="s">
        <v>50</v>
      </c>
      <c r="L8" s="12" t="s">
        <v>51</v>
      </c>
    </row>
    <row r="9" customFormat="false" ht="15" hidden="false" customHeight="false" outlineLevel="0" collapsed="false">
      <c r="A9" s="29" t="str">
        <f aca="false">IF('Budget du don'!A9="","",'Budget du don'!A9)</f>
        <v>Sac de riz 25 kg</v>
      </c>
      <c r="B9" s="30" t="str">
        <f aca="false">IF(OR('Budget du don'!A9="",'Budget du don'!B9=""),"",'Budget du don'!B9)</f>
        <v>sac</v>
      </c>
      <c r="C9" s="31" t="n">
        <f aca="false">IF(OR('Budget du don'!A9="",'Budget du don'!C9=""),"",'Budget du don'!C9)</f>
        <v>10</v>
      </c>
      <c r="D9" s="32" t="n">
        <f aca="false">IF('Budget du don'!A9="","",IF('Budget du don'!D9&lt;&gt;"",'Budget du don'!D9,IF('Budget du don'!E9&lt;&gt;"",'Budget du don'!E9/'Budget du don'!$G$4,"")))</f>
        <v>18.2938820684892</v>
      </c>
      <c r="E9" s="32" t="n">
        <f aca="false">IF('Budget du don'!F9="","",'Budget du don'!F9)</f>
        <v>182.938820684892</v>
      </c>
      <c r="F9" s="14" t="n">
        <v>10</v>
      </c>
      <c r="G9" s="15"/>
      <c r="H9" s="16" t="n">
        <v>12800</v>
      </c>
      <c r="I9" s="17" t="n">
        <f aca="false">IF(OR(F9="",AND(G9="",H9="")),"",F9*IF(G9&lt;&gt;"",G9,H9/'Budget du don'!$G$4))</f>
        <v>195.134742063885</v>
      </c>
      <c r="J9" s="32" t="n">
        <f aca="false">IF(OR(E9="",I9=""),"",E9-I9)</f>
        <v>-12.1959213789929</v>
      </c>
      <c r="K9" s="33" t="n">
        <f aca="false">IF(OR(D9="",D9=0,F9="",AND(G9="",H9="")),"",(IF(G9&lt;&gt;"",G9,H9/'Budget du don'!$G$4)-D9)/D9)</f>
        <v>0.0666666666666667</v>
      </c>
      <c r="L9" s="4" t="s">
        <v>52</v>
      </c>
    </row>
    <row r="10" customFormat="false" ht="15" hidden="false" customHeight="false" outlineLevel="0" collapsed="false">
      <c r="A10" s="29" t="str">
        <f aca="false">IF('Budget du don'!A10="","",'Budget du don'!A10)</f>
        <v>Cahier 96 pages</v>
      </c>
      <c r="B10" s="30" t="str">
        <f aca="false">IF(OR('Budget du don'!A10="",'Budget du don'!B10=""),"",'Budget du don'!B10)</f>
        <v>pièce</v>
      </c>
      <c r="C10" s="31" t="str">
        <f aca="false">IF(OR('Budget du don'!A10="",'Budget du don'!C10=""),"",'Budget du don'!C10)</f>
        <v/>
      </c>
      <c r="D10" s="32" t="str">
        <f aca="false">IF('Budget du don'!A10="","",IF('Budget du don'!D10&lt;&gt;"",'Budget du don'!D10,IF('Budget du don'!E10&lt;&gt;"",'Budget du don'!E10/'Budget du don'!$G$4,"")))</f>
        <v/>
      </c>
      <c r="E10" s="32" t="str">
        <f aca="false">IF('Budget du don'!F10="","",'Budget du don'!F10)</f>
        <v/>
      </c>
      <c r="F10" s="14"/>
      <c r="G10" s="15"/>
      <c r="H10" s="16"/>
      <c r="I10" s="17" t="str">
        <f aca="false">IF(OR(F10="",AND(G10="",H10="")),"",F10*IF(G10&lt;&gt;"",G10,H10/'Budget du don'!$G$4))</f>
        <v/>
      </c>
      <c r="J10" s="32" t="str">
        <f aca="false">IF(OR(E10="",I10=""),"",E10-I10)</f>
        <v/>
      </c>
      <c r="K10" s="33" t="str">
        <f aca="false">IF(OR(D10="",D10=0,F10="",AND(G10="",H10="")),"",(IF(G10&lt;&gt;"",G10,H10/'Budget du don'!$G$4)-D10)/D10)</f>
        <v/>
      </c>
      <c r="L10" s="4"/>
    </row>
    <row r="11" customFormat="false" ht="15" hidden="false" customHeight="false" outlineLevel="0" collapsed="false">
      <c r="A11" s="29" t="str">
        <f aca="false">IF('Budget du don'!A11="","",'Budget du don'!A11)</f>
        <v>Stylo bleu</v>
      </c>
      <c r="B11" s="30" t="str">
        <f aca="false">IF(OR('Budget du don'!A11="",'Budget du don'!B11=""),"",'Budget du don'!B11)</f>
        <v>pièce</v>
      </c>
      <c r="C11" s="31" t="str">
        <f aca="false">IF(OR('Budget du don'!A11="",'Budget du don'!C11=""),"",'Budget du don'!C11)</f>
        <v/>
      </c>
      <c r="D11" s="32" t="str">
        <f aca="false">IF('Budget du don'!A11="","",IF('Budget du don'!D11&lt;&gt;"",'Budget du don'!D11,IF('Budget du don'!E11&lt;&gt;"",'Budget du don'!E11/'Budget du don'!$G$4,"")))</f>
        <v/>
      </c>
      <c r="E11" s="32" t="str">
        <f aca="false">IF('Budget du don'!F11="","",'Budget du don'!F11)</f>
        <v/>
      </c>
      <c r="F11" s="14"/>
      <c r="G11" s="15"/>
      <c r="H11" s="16"/>
      <c r="I11" s="17" t="str">
        <f aca="false">IF(OR(F11="",AND(G11="",H11="")),"",F11*IF(G11&lt;&gt;"",G11,H11/'Budget du don'!$G$4))</f>
        <v/>
      </c>
      <c r="J11" s="32" t="str">
        <f aca="false">IF(OR(E11="",I11=""),"",E11-I11)</f>
        <v/>
      </c>
      <c r="K11" s="33" t="str">
        <f aca="false">IF(OR(D11="",D11=0,F11="",AND(G11="",H11="")),"",(IF(G11&lt;&gt;"",G11,H11/'Budget du don'!$G$4)-D11)/D11)</f>
        <v/>
      </c>
      <c r="L11" s="4"/>
    </row>
    <row r="12" customFormat="false" ht="15" hidden="false" customHeight="false" outlineLevel="0" collapsed="false">
      <c r="A12" s="29" t="str">
        <f aca="false">IF('Budget du don'!A12="","",'Budget du don'!A12)</f>
        <v>Cartable</v>
      </c>
      <c r="B12" s="30" t="str">
        <f aca="false">IF(OR('Budget du don'!A12="",'Budget du don'!B12=""),"",'Budget du don'!B12)</f>
        <v>pièce</v>
      </c>
      <c r="C12" s="31" t="str">
        <f aca="false">IF(OR('Budget du don'!A12="",'Budget du don'!C12=""),"",'Budget du don'!C12)</f>
        <v/>
      </c>
      <c r="D12" s="32" t="str">
        <f aca="false">IF('Budget du don'!A12="","",IF('Budget du don'!D12&lt;&gt;"",'Budget du don'!D12,IF('Budget du don'!E12&lt;&gt;"",'Budget du don'!E12/'Budget du don'!$G$4,"")))</f>
        <v/>
      </c>
      <c r="E12" s="32" t="str">
        <f aca="false">IF('Budget du don'!F12="","",'Budget du don'!F12)</f>
        <v/>
      </c>
      <c r="F12" s="14"/>
      <c r="G12" s="15"/>
      <c r="H12" s="16"/>
      <c r="I12" s="17" t="str">
        <f aca="false">IF(OR(F12="",AND(G12="",H12="")),"",F12*IF(G12&lt;&gt;"",G12,H12/'Budget du don'!$G$4))</f>
        <v/>
      </c>
      <c r="J12" s="32" t="str">
        <f aca="false">IF(OR(E12="",I12=""),"",E12-I12)</f>
        <v/>
      </c>
      <c r="K12" s="33" t="str">
        <f aca="false">IF(OR(D12="",D12=0,F12="",AND(G12="",H12="")),"",(IF(G12&lt;&gt;"",G12,H12/'Budget du don'!$G$4)-D12)/D12)</f>
        <v/>
      </c>
      <c r="L12" s="4"/>
    </row>
    <row r="13" customFormat="false" ht="15" hidden="false" customHeight="false" outlineLevel="0" collapsed="false">
      <c r="A13" s="29" t="str">
        <f aca="false">IF('Budget du don'!A13="","",'Budget du don'!A13)</f>
        <v>Craie blanche</v>
      </c>
      <c r="B13" s="30" t="str">
        <f aca="false">IF(OR('Budget du don'!A13="",'Budget du don'!B13=""),"",'Budget du don'!B13)</f>
        <v>boîte de 100</v>
      </c>
      <c r="C13" s="31" t="str">
        <f aca="false">IF(OR('Budget du don'!A13="",'Budget du don'!C13=""),"",'Budget du don'!C13)</f>
        <v/>
      </c>
      <c r="D13" s="32" t="str">
        <f aca="false">IF('Budget du don'!A13="","",IF('Budget du don'!D13&lt;&gt;"",'Budget du don'!D13,IF('Budget du don'!E13&lt;&gt;"",'Budget du don'!E13/'Budget du don'!$G$4,"")))</f>
        <v/>
      </c>
      <c r="E13" s="32" t="str">
        <f aca="false">IF('Budget du don'!F13="","",'Budget du don'!F13)</f>
        <v/>
      </c>
      <c r="F13" s="14"/>
      <c r="G13" s="15"/>
      <c r="H13" s="16"/>
      <c r="I13" s="17" t="str">
        <f aca="false">IF(OR(F13="",AND(G13="",H13="")),"",F13*IF(G13&lt;&gt;"",G13,H13/'Budget du don'!$G$4))</f>
        <v/>
      </c>
      <c r="J13" s="32" t="str">
        <f aca="false">IF(OR(E13="",I13=""),"",E13-I13)</f>
        <v/>
      </c>
      <c r="K13" s="33" t="str">
        <f aca="false">IF(OR(D13="",D13=0,F13="",AND(G13="",H13="")),"",(IF(G13&lt;&gt;"",G13,H13/'Budget du don'!$G$4)-D13)/D13)</f>
        <v/>
      </c>
      <c r="L13" s="4"/>
    </row>
    <row r="14" customFormat="false" ht="15" hidden="false" customHeight="false" outlineLevel="0" collapsed="false">
      <c r="A14" s="29" t="str">
        <f aca="false">IF('Budget du don'!A14="","",'Budget du don'!A14)</f>
        <v>Huile végétale</v>
      </c>
      <c r="B14" s="30" t="str">
        <f aca="false">IF(OR('Budget du don'!A14="",'Budget du don'!B14=""),"",'Budget du don'!B14)</f>
        <v>bidon 1 L</v>
      </c>
      <c r="C14" s="31" t="str">
        <f aca="false">IF(OR('Budget du don'!A14="",'Budget du don'!C14=""),"",'Budget du don'!C14)</f>
        <v/>
      </c>
      <c r="D14" s="32" t="str">
        <f aca="false">IF('Budget du don'!A14="","",IF('Budget du don'!D14&lt;&gt;"",'Budget du don'!D14,IF('Budget du don'!E14&lt;&gt;"",'Budget du don'!E14/'Budget du don'!$G$4,"")))</f>
        <v/>
      </c>
      <c r="E14" s="32" t="str">
        <f aca="false">IF('Budget du don'!F14="","",'Budget du don'!F14)</f>
        <v/>
      </c>
      <c r="F14" s="14"/>
      <c r="G14" s="15"/>
      <c r="H14" s="16"/>
      <c r="I14" s="17" t="str">
        <f aca="false">IF(OR(F14="",AND(G14="",H14="")),"",F14*IF(G14&lt;&gt;"",G14,H14/'Budget du don'!$G$4))</f>
        <v/>
      </c>
      <c r="J14" s="32" t="str">
        <f aca="false">IF(OR(E14="",I14=""),"",E14-I14)</f>
        <v/>
      </c>
      <c r="K14" s="33" t="str">
        <f aca="false">IF(OR(D14="",D14=0,F14="",AND(G14="",H14="")),"",(IF(G14&lt;&gt;"",G14,H14/'Budget du don'!$G$4)-D14)/D14)</f>
        <v/>
      </c>
      <c r="L14" s="4"/>
    </row>
    <row r="15" customFormat="false" ht="15" hidden="false" customHeight="false" outlineLevel="0" collapsed="false">
      <c r="A15" s="29" t="str">
        <f aca="false">IF('Budget du don'!A15="","",'Budget du don'!A15)</f>
        <v>Savon</v>
      </c>
      <c r="B15" s="30" t="str">
        <f aca="false">IF(OR('Budget du don'!A15="",'Budget du don'!B15=""),"",'Budget du don'!B15)</f>
        <v>pièce</v>
      </c>
      <c r="C15" s="31" t="str">
        <f aca="false">IF(OR('Budget du don'!A15="",'Budget du don'!C15=""),"",'Budget du don'!C15)</f>
        <v/>
      </c>
      <c r="D15" s="32" t="str">
        <f aca="false">IF('Budget du don'!A15="","",IF('Budget du don'!D15&lt;&gt;"",'Budget du don'!D15,IF('Budget du don'!E15&lt;&gt;"",'Budget du don'!E15/'Budget du don'!$G$4,"")))</f>
        <v/>
      </c>
      <c r="E15" s="32" t="str">
        <f aca="false">IF('Budget du don'!F15="","",'Budget du don'!F15)</f>
        <v/>
      </c>
      <c r="F15" s="14"/>
      <c r="G15" s="15"/>
      <c r="H15" s="16"/>
      <c r="I15" s="17" t="str">
        <f aca="false">IF(OR(F15="",AND(G15="",H15="")),"",F15*IF(G15&lt;&gt;"",G15,H15/'Budget du don'!$G$4))</f>
        <v/>
      </c>
      <c r="J15" s="32" t="str">
        <f aca="false">IF(OR(E15="",I15=""),"",E15-I15)</f>
        <v/>
      </c>
      <c r="K15" s="33" t="str">
        <f aca="false">IF(OR(D15="",D15=0,F15="",AND(G15="",H15="")),"",(IF(G15&lt;&gt;"",G15,H15/'Budget du don'!$G$4)-D15)/D15)</f>
        <v/>
      </c>
      <c r="L15" s="4"/>
    </row>
    <row r="16" customFormat="false" ht="15" hidden="false" customHeight="false" outlineLevel="0" collapsed="false">
      <c r="A16" s="29" t="str">
        <f aca="false">IF('Budget du don'!A16="","",'Budget du don'!A16)</f>
        <v>Vêtements enfant</v>
      </c>
      <c r="B16" s="30" t="str">
        <f aca="false">IF(OR('Budget du don'!A16="",'Budget du don'!B16=""),"",'Budget du don'!B16)</f>
        <v>lot</v>
      </c>
      <c r="C16" s="31" t="str">
        <f aca="false">IF(OR('Budget du don'!A16="",'Budget du don'!C16=""),"",'Budget du don'!C16)</f>
        <v/>
      </c>
      <c r="D16" s="32" t="str">
        <f aca="false">IF('Budget du don'!A16="","",IF('Budget du don'!D16&lt;&gt;"",'Budget du don'!D16,IF('Budget du don'!E16&lt;&gt;"",'Budget du don'!E16/'Budget du don'!$G$4,"")))</f>
        <v/>
      </c>
      <c r="E16" s="32" t="str">
        <f aca="false">IF('Budget du don'!F16="","",'Budget du don'!F16)</f>
        <v/>
      </c>
      <c r="F16" s="14"/>
      <c r="G16" s="15"/>
      <c r="H16" s="16"/>
      <c r="I16" s="17" t="str">
        <f aca="false">IF(OR(F16="",AND(G16="",H16="")),"",F16*IF(G16&lt;&gt;"",G16,H16/'Budget du don'!$G$4))</f>
        <v/>
      </c>
      <c r="J16" s="32" t="str">
        <f aca="false">IF(OR(E16="",I16=""),"",E16-I16)</f>
        <v/>
      </c>
      <c r="K16" s="33" t="str">
        <f aca="false">IF(OR(D16="",D16=0,F16="",AND(G16="",H16="")),"",(IF(G16&lt;&gt;"",G16,H16/'Budget du don'!$G$4)-D16)/D16)</f>
        <v/>
      </c>
      <c r="L16" s="4"/>
    </row>
    <row r="17" customFormat="false" ht="15" hidden="false" customHeight="false" outlineLevel="0" collapsed="false">
      <c r="A17" s="29" t="str">
        <f aca="false">IF('Budget du don'!A17="","",'Budget du don'!A17)</f>
        <v/>
      </c>
      <c r="B17" s="30" t="str">
        <f aca="false">IF(OR('Budget du don'!A17="",'Budget du don'!B17=""),"",'Budget du don'!B17)</f>
        <v/>
      </c>
      <c r="C17" s="31" t="str">
        <f aca="false">IF(OR('Budget du don'!A17="",'Budget du don'!C17=""),"",'Budget du don'!C17)</f>
        <v/>
      </c>
      <c r="D17" s="32" t="str">
        <f aca="false">IF('Budget du don'!A17="","",IF('Budget du don'!D17&lt;&gt;"",'Budget du don'!D17,IF('Budget du don'!E17&lt;&gt;"",'Budget du don'!E17/'Budget du don'!$G$4,"")))</f>
        <v/>
      </c>
      <c r="E17" s="32" t="str">
        <f aca="false">IF('Budget du don'!F17="","",'Budget du don'!F17)</f>
        <v/>
      </c>
      <c r="F17" s="14"/>
      <c r="G17" s="15"/>
      <c r="H17" s="16"/>
      <c r="I17" s="17" t="str">
        <f aca="false">IF(OR(F17="",AND(G17="",H17="")),"",F17*IF(G17&lt;&gt;"",G17,H17/'Budget du don'!$G$4))</f>
        <v/>
      </c>
      <c r="J17" s="32" t="str">
        <f aca="false">IF(OR(E17="",I17=""),"",E17-I17)</f>
        <v/>
      </c>
      <c r="K17" s="33" t="str">
        <f aca="false">IF(OR(D17="",D17=0,F17="",AND(G17="",H17="")),"",(IF(G17&lt;&gt;"",G17,H17/'Budget du don'!$G$4)-D17)/D17)</f>
        <v/>
      </c>
      <c r="L17" s="4"/>
    </row>
    <row r="18" customFormat="false" ht="15" hidden="false" customHeight="false" outlineLevel="0" collapsed="false">
      <c r="A18" s="29" t="str">
        <f aca="false">IF('Budget du don'!A18="","",'Budget du don'!A18)</f>
        <v/>
      </c>
      <c r="B18" s="30" t="str">
        <f aca="false">IF(OR('Budget du don'!A18="",'Budget du don'!B18=""),"",'Budget du don'!B18)</f>
        <v/>
      </c>
      <c r="C18" s="31" t="str">
        <f aca="false">IF(OR('Budget du don'!A18="",'Budget du don'!C18=""),"",'Budget du don'!C18)</f>
        <v/>
      </c>
      <c r="D18" s="32" t="str">
        <f aca="false">IF('Budget du don'!A18="","",IF('Budget du don'!D18&lt;&gt;"",'Budget du don'!D18,IF('Budget du don'!E18&lt;&gt;"",'Budget du don'!E18/'Budget du don'!$G$4,"")))</f>
        <v/>
      </c>
      <c r="E18" s="32" t="str">
        <f aca="false">IF('Budget du don'!F18="","",'Budget du don'!F18)</f>
        <v/>
      </c>
      <c r="F18" s="14"/>
      <c r="G18" s="15"/>
      <c r="H18" s="16"/>
      <c r="I18" s="17" t="str">
        <f aca="false">IF(OR(F18="",AND(G18="",H18="")),"",F18*IF(G18&lt;&gt;"",G18,H18/'Budget du don'!$G$4))</f>
        <v/>
      </c>
      <c r="J18" s="32" t="str">
        <f aca="false">IF(OR(E18="",I18=""),"",E18-I18)</f>
        <v/>
      </c>
      <c r="K18" s="33" t="str">
        <f aca="false">IF(OR(D18="",D18=0,F18="",AND(G18="",H18="")),"",(IF(G18&lt;&gt;"",G18,H18/'Budget du don'!$G$4)-D18)/D18)</f>
        <v/>
      </c>
      <c r="L18" s="4"/>
    </row>
    <row r="19" customFormat="false" ht="15" hidden="false" customHeight="false" outlineLevel="0" collapsed="false">
      <c r="A19" s="29" t="str">
        <f aca="false">IF('Budget du don'!A19="","",'Budget du don'!A19)</f>
        <v/>
      </c>
      <c r="B19" s="30" t="str">
        <f aca="false">IF(OR('Budget du don'!A19="",'Budget du don'!B19=""),"",'Budget du don'!B19)</f>
        <v/>
      </c>
      <c r="C19" s="31" t="str">
        <f aca="false">IF(OR('Budget du don'!A19="",'Budget du don'!C19=""),"",'Budget du don'!C19)</f>
        <v/>
      </c>
      <c r="D19" s="32" t="str">
        <f aca="false">IF('Budget du don'!A19="","",IF('Budget du don'!D19&lt;&gt;"",'Budget du don'!D19,IF('Budget du don'!E19&lt;&gt;"",'Budget du don'!E19/'Budget du don'!$G$4,"")))</f>
        <v/>
      </c>
      <c r="E19" s="32" t="str">
        <f aca="false">IF('Budget du don'!F19="","",'Budget du don'!F19)</f>
        <v/>
      </c>
      <c r="F19" s="14"/>
      <c r="G19" s="15"/>
      <c r="H19" s="16"/>
      <c r="I19" s="17" t="str">
        <f aca="false">IF(OR(F19="",AND(G19="",H19="")),"",F19*IF(G19&lt;&gt;"",G19,H19/'Budget du don'!$G$4))</f>
        <v/>
      </c>
      <c r="J19" s="32" t="str">
        <f aca="false">IF(OR(E19="",I19=""),"",E19-I19)</f>
        <v/>
      </c>
      <c r="K19" s="33" t="str">
        <f aca="false">IF(OR(D19="",D19=0,F19="",AND(G19="",H19="")),"",(IF(G19&lt;&gt;"",G19,H19/'Budget du don'!$G$4)-D19)/D19)</f>
        <v/>
      </c>
      <c r="L19" s="4"/>
    </row>
    <row r="20" customFormat="false" ht="15" hidden="false" customHeight="false" outlineLevel="0" collapsed="false">
      <c r="A20" s="29" t="str">
        <f aca="false">IF('Budget du don'!A20="","",'Budget du don'!A20)</f>
        <v/>
      </c>
      <c r="B20" s="30" t="str">
        <f aca="false">IF(OR('Budget du don'!A20="",'Budget du don'!B20=""),"",'Budget du don'!B20)</f>
        <v/>
      </c>
      <c r="C20" s="31" t="str">
        <f aca="false">IF(OR('Budget du don'!A20="",'Budget du don'!C20=""),"",'Budget du don'!C20)</f>
        <v/>
      </c>
      <c r="D20" s="32" t="str">
        <f aca="false">IF('Budget du don'!A20="","",IF('Budget du don'!D20&lt;&gt;"",'Budget du don'!D20,IF('Budget du don'!E20&lt;&gt;"",'Budget du don'!E20/'Budget du don'!$G$4,"")))</f>
        <v/>
      </c>
      <c r="E20" s="32" t="str">
        <f aca="false">IF('Budget du don'!F20="","",'Budget du don'!F20)</f>
        <v/>
      </c>
      <c r="F20" s="14"/>
      <c r="G20" s="15"/>
      <c r="H20" s="16"/>
      <c r="I20" s="17" t="str">
        <f aca="false">IF(OR(F20="",AND(G20="",H20="")),"",F20*IF(G20&lt;&gt;"",G20,H20/'Budget du don'!$G$4))</f>
        <v/>
      </c>
      <c r="J20" s="32" t="str">
        <f aca="false">IF(OR(E20="",I20=""),"",E20-I20)</f>
        <v/>
      </c>
      <c r="K20" s="33" t="str">
        <f aca="false">IF(OR(D20="",D20=0,F20="",AND(G20="",H20="")),"",(IF(G20&lt;&gt;"",G20,H20/'Budget du don'!$G$4)-D20)/D20)</f>
        <v/>
      </c>
      <c r="L20" s="4"/>
    </row>
    <row r="21" customFormat="false" ht="15" hidden="false" customHeight="false" outlineLevel="0" collapsed="false">
      <c r="A21" s="29" t="str">
        <f aca="false">IF('Budget du don'!A21="","",'Budget du don'!A21)</f>
        <v/>
      </c>
      <c r="B21" s="30" t="str">
        <f aca="false">IF(OR('Budget du don'!A21="",'Budget du don'!B21=""),"",'Budget du don'!B21)</f>
        <v/>
      </c>
      <c r="C21" s="31" t="str">
        <f aca="false">IF(OR('Budget du don'!A21="",'Budget du don'!C21=""),"",'Budget du don'!C21)</f>
        <v/>
      </c>
      <c r="D21" s="32" t="str">
        <f aca="false">IF('Budget du don'!A21="","",IF('Budget du don'!D21&lt;&gt;"",'Budget du don'!D21,IF('Budget du don'!E21&lt;&gt;"",'Budget du don'!E21/'Budget du don'!$G$4,"")))</f>
        <v/>
      </c>
      <c r="E21" s="32" t="str">
        <f aca="false">IF('Budget du don'!F21="","",'Budget du don'!F21)</f>
        <v/>
      </c>
      <c r="F21" s="14"/>
      <c r="G21" s="15"/>
      <c r="H21" s="16"/>
      <c r="I21" s="17" t="str">
        <f aca="false">IF(OR(F21="",AND(G21="",H21="")),"",F21*IF(G21&lt;&gt;"",G21,H21/'Budget du don'!$G$4))</f>
        <v/>
      </c>
      <c r="J21" s="32" t="str">
        <f aca="false">IF(OR(E21="",I21=""),"",E21-I21)</f>
        <v/>
      </c>
      <c r="K21" s="33" t="str">
        <f aca="false">IF(OR(D21="",D21=0,F21="",AND(G21="",H21="")),"",(IF(G21&lt;&gt;"",G21,H21/'Budget du don'!$G$4)-D21)/D21)</f>
        <v/>
      </c>
      <c r="L21" s="4"/>
    </row>
    <row r="22" customFormat="false" ht="15" hidden="false" customHeight="false" outlineLevel="0" collapsed="false">
      <c r="A22" s="29" t="str">
        <f aca="false">IF('Budget du don'!A22="","",'Budget du don'!A22)</f>
        <v/>
      </c>
      <c r="B22" s="30" t="str">
        <f aca="false">IF(OR('Budget du don'!A22="",'Budget du don'!B22=""),"",'Budget du don'!B22)</f>
        <v/>
      </c>
      <c r="C22" s="31" t="str">
        <f aca="false">IF(OR('Budget du don'!A22="",'Budget du don'!C22=""),"",'Budget du don'!C22)</f>
        <v/>
      </c>
      <c r="D22" s="32" t="str">
        <f aca="false">IF('Budget du don'!A22="","",IF('Budget du don'!D22&lt;&gt;"",'Budget du don'!D22,IF('Budget du don'!E22&lt;&gt;"",'Budget du don'!E22/'Budget du don'!$G$4,"")))</f>
        <v/>
      </c>
      <c r="E22" s="32" t="str">
        <f aca="false">IF('Budget du don'!F22="","",'Budget du don'!F22)</f>
        <v/>
      </c>
      <c r="F22" s="14"/>
      <c r="G22" s="15"/>
      <c r="H22" s="16"/>
      <c r="I22" s="17" t="str">
        <f aca="false">IF(OR(F22="",AND(G22="",H22="")),"",F22*IF(G22&lt;&gt;"",G22,H22/'Budget du don'!$G$4))</f>
        <v/>
      </c>
      <c r="J22" s="32" t="str">
        <f aca="false">IF(OR(E22="",I22=""),"",E22-I22)</f>
        <v/>
      </c>
      <c r="K22" s="33" t="str">
        <f aca="false">IF(OR(D22="",D22=0,F22="",AND(G22="",H22="")),"",(IF(G22&lt;&gt;"",G22,H22/'Budget du don'!$G$4)-D22)/D22)</f>
        <v/>
      </c>
      <c r="L22" s="4"/>
    </row>
    <row r="23" customFormat="false" ht="15" hidden="false" customHeight="false" outlineLevel="0" collapsed="false">
      <c r="A23" s="29" t="str">
        <f aca="false">IF('Budget du don'!A23="","",'Budget du don'!A23)</f>
        <v/>
      </c>
      <c r="B23" s="30" t="str">
        <f aca="false">IF(OR('Budget du don'!A23="",'Budget du don'!B23=""),"",'Budget du don'!B23)</f>
        <v/>
      </c>
      <c r="C23" s="31" t="str">
        <f aca="false">IF(OR('Budget du don'!A23="",'Budget du don'!C23=""),"",'Budget du don'!C23)</f>
        <v/>
      </c>
      <c r="D23" s="32" t="str">
        <f aca="false">IF('Budget du don'!A23="","",IF('Budget du don'!D23&lt;&gt;"",'Budget du don'!D23,IF('Budget du don'!E23&lt;&gt;"",'Budget du don'!E23/'Budget du don'!$G$4,"")))</f>
        <v/>
      </c>
      <c r="E23" s="32" t="str">
        <f aca="false">IF('Budget du don'!F23="","",'Budget du don'!F23)</f>
        <v/>
      </c>
      <c r="F23" s="14"/>
      <c r="G23" s="15"/>
      <c r="H23" s="16"/>
      <c r="I23" s="17" t="str">
        <f aca="false">IF(OR(F23="",AND(G23="",H23="")),"",F23*IF(G23&lt;&gt;"",G23,H23/'Budget du don'!$G$4))</f>
        <v/>
      </c>
      <c r="J23" s="32" t="str">
        <f aca="false">IF(OR(E23="",I23=""),"",E23-I23)</f>
        <v/>
      </c>
      <c r="K23" s="33" t="str">
        <f aca="false">IF(OR(D23="",D23=0,F23="",AND(G23="",H23="")),"",(IF(G23&lt;&gt;"",G23,H23/'Budget du don'!$G$4)-D23)/D23)</f>
        <v/>
      </c>
      <c r="L23" s="4"/>
    </row>
    <row r="24" customFormat="false" ht="15" hidden="false" customHeight="false" outlineLevel="0" collapsed="false">
      <c r="A24" s="29" t="str">
        <f aca="false">IF('Budget du don'!A24="","",'Budget du don'!A24)</f>
        <v/>
      </c>
      <c r="B24" s="30" t="str">
        <f aca="false">IF(OR('Budget du don'!A24="",'Budget du don'!B24=""),"",'Budget du don'!B24)</f>
        <v/>
      </c>
      <c r="C24" s="31" t="str">
        <f aca="false">IF(OR('Budget du don'!A24="",'Budget du don'!C24=""),"",'Budget du don'!C24)</f>
        <v/>
      </c>
      <c r="D24" s="32" t="str">
        <f aca="false">IF('Budget du don'!A24="","",IF('Budget du don'!D24&lt;&gt;"",'Budget du don'!D24,IF('Budget du don'!E24&lt;&gt;"",'Budget du don'!E24/'Budget du don'!$G$4,"")))</f>
        <v/>
      </c>
      <c r="E24" s="32" t="str">
        <f aca="false">IF('Budget du don'!F24="","",'Budget du don'!F24)</f>
        <v/>
      </c>
      <c r="F24" s="14"/>
      <c r="G24" s="15"/>
      <c r="H24" s="16"/>
      <c r="I24" s="17" t="str">
        <f aca="false">IF(OR(F24="",AND(G24="",H24="")),"",F24*IF(G24&lt;&gt;"",G24,H24/'Budget du don'!$G$4))</f>
        <v/>
      </c>
      <c r="J24" s="32" t="str">
        <f aca="false">IF(OR(E24="",I24=""),"",E24-I24)</f>
        <v/>
      </c>
      <c r="K24" s="33" t="str">
        <f aca="false">IF(OR(D24="",D24=0,F24="",AND(G24="",H24="")),"",(IF(G24&lt;&gt;"",G24,H24/'Budget du don'!$G$4)-D24)/D24)</f>
        <v/>
      </c>
      <c r="L24" s="4"/>
    </row>
    <row r="25" customFormat="false" ht="15" hidden="false" customHeight="false" outlineLevel="0" collapsed="false">
      <c r="A25" s="29" t="str">
        <f aca="false">IF('Budget du don'!A25="","",'Budget du don'!A25)</f>
        <v/>
      </c>
      <c r="B25" s="30" t="str">
        <f aca="false">IF(OR('Budget du don'!A25="",'Budget du don'!B25=""),"",'Budget du don'!B25)</f>
        <v/>
      </c>
      <c r="C25" s="31" t="str">
        <f aca="false">IF(OR('Budget du don'!A25="",'Budget du don'!C25=""),"",'Budget du don'!C25)</f>
        <v/>
      </c>
      <c r="D25" s="32" t="str">
        <f aca="false">IF('Budget du don'!A25="","",IF('Budget du don'!D25&lt;&gt;"",'Budget du don'!D25,IF('Budget du don'!E25&lt;&gt;"",'Budget du don'!E25/'Budget du don'!$G$4,"")))</f>
        <v/>
      </c>
      <c r="E25" s="32" t="str">
        <f aca="false">IF('Budget du don'!F25="","",'Budget du don'!F25)</f>
        <v/>
      </c>
      <c r="F25" s="14"/>
      <c r="G25" s="15"/>
      <c r="H25" s="16"/>
      <c r="I25" s="17" t="str">
        <f aca="false">IF(OR(F25="",AND(G25="",H25="")),"",F25*IF(G25&lt;&gt;"",G25,H25/'Budget du don'!$G$4))</f>
        <v/>
      </c>
      <c r="J25" s="32" t="str">
        <f aca="false">IF(OR(E25="",I25=""),"",E25-I25)</f>
        <v/>
      </c>
      <c r="K25" s="33" t="str">
        <f aca="false">IF(OR(D25="",D25=0,F25="",AND(G25="",H25="")),"",(IF(G25&lt;&gt;"",G25,H25/'Budget du don'!$G$4)-D25)/D25)</f>
        <v/>
      </c>
      <c r="L25" s="4"/>
    </row>
    <row r="26" customFormat="false" ht="15" hidden="false" customHeight="false" outlineLevel="0" collapsed="false">
      <c r="A26" s="29" t="str">
        <f aca="false">IF('Budget du don'!A26="","",'Budget du don'!A26)</f>
        <v/>
      </c>
      <c r="B26" s="30" t="str">
        <f aca="false">IF(OR('Budget du don'!A26="",'Budget du don'!B26=""),"",'Budget du don'!B26)</f>
        <v/>
      </c>
      <c r="C26" s="31" t="str">
        <f aca="false">IF(OR('Budget du don'!A26="",'Budget du don'!C26=""),"",'Budget du don'!C26)</f>
        <v/>
      </c>
      <c r="D26" s="32" t="str">
        <f aca="false">IF('Budget du don'!A26="","",IF('Budget du don'!D26&lt;&gt;"",'Budget du don'!D26,IF('Budget du don'!E26&lt;&gt;"",'Budget du don'!E26/'Budget du don'!$G$4,"")))</f>
        <v/>
      </c>
      <c r="E26" s="32" t="str">
        <f aca="false">IF('Budget du don'!F26="","",'Budget du don'!F26)</f>
        <v/>
      </c>
      <c r="F26" s="14"/>
      <c r="G26" s="15"/>
      <c r="H26" s="16"/>
      <c r="I26" s="17" t="str">
        <f aca="false">IF(OR(F26="",AND(G26="",H26="")),"",F26*IF(G26&lt;&gt;"",G26,H26/'Budget du don'!$G$4))</f>
        <v/>
      </c>
      <c r="J26" s="32" t="str">
        <f aca="false">IF(OR(E26="",I26=""),"",E26-I26)</f>
        <v/>
      </c>
      <c r="K26" s="33" t="str">
        <f aca="false">IF(OR(D26="",D26=0,F26="",AND(G26="",H26="")),"",(IF(G26&lt;&gt;"",G26,H26/'Budget du don'!$G$4)-D26)/D26)</f>
        <v/>
      </c>
      <c r="L26" s="4"/>
    </row>
    <row r="27" customFormat="false" ht="15" hidden="false" customHeight="false" outlineLevel="0" collapsed="false">
      <c r="A27" s="29" t="str">
        <f aca="false">IF('Budget du don'!A27="","",'Budget du don'!A27)</f>
        <v/>
      </c>
      <c r="B27" s="30" t="str">
        <f aca="false">IF(OR('Budget du don'!A27="",'Budget du don'!B27=""),"",'Budget du don'!B27)</f>
        <v/>
      </c>
      <c r="C27" s="31" t="str">
        <f aca="false">IF(OR('Budget du don'!A27="",'Budget du don'!C27=""),"",'Budget du don'!C27)</f>
        <v/>
      </c>
      <c r="D27" s="32" t="str">
        <f aca="false">IF('Budget du don'!A27="","",IF('Budget du don'!D27&lt;&gt;"",'Budget du don'!D27,IF('Budget du don'!E27&lt;&gt;"",'Budget du don'!E27/'Budget du don'!$G$4,"")))</f>
        <v/>
      </c>
      <c r="E27" s="32" t="str">
        <f aca="false">IF('Budget du don'!F27="","",'Budget du don'!F27)</f>
        <v/>
      </c>
      <c r="F27" s="14"/>
      <c r="G27" s="15"/>
      <c r="H27" s="16"/>
      <c r="I27" s="17" t="str">
        <f aca="false">IF(OR(F27="",AND(G27="",H27="")),"",F27*IF(G27&lt;&gt;"",G27,H27/'Budget du don'!$G$4))</f>
        <v/>
      </c>
      <c r="J27" s="32" t="str">
        <f aca="false">IF(OR(E27="",I27=""),"",E27-I27)</f>
        <v/>
      </c>
      <c r="K27" s="33" t="str">
        <f aca="false">IF(OR(D27="",D27=0,F27="",AND(G27="",H27="")),"",(IF(G27&lt;&gt;"",G27,H27/'Budget du don'!$G$4)-D27)/D27)</f>
        <v/>
      </c>
      <c r="L27" s="4"/>
    </row>
    <row r="28" customFormat="false" ht="15" hidden="false" customHeight="false" outlineLevel="0" collapsed="false">
      <c r="A28" s="29" t="str">
        <f aca="false">IF('Budget du don'!A28="","",'Budget du don'!A28)</f>
        <v/>
      </c>
      <c r="B28" s="30" t="str">
        <f aca="false">IF(OR('Budget du don'!A28="",'Budget du don'!B28=""),"",'Budget du don'!B28)</f>
        <v/>
      </c>
      <c r="C28" s="31" t="str">
        <f aca="false">IF(OR('Budget du don'!A28="",'Budget du don'!C28=""),"",'Budget du don'!C28)</f>
        <v/>
      </c>
      <c r="D28" s="32" t="str">
        <f aca="false">IF('Budget du don'!A28="","",IF('Budget du don'!D28&lt;&gt;"",'Budget du don'!D28,IF('Budget du don'!E28&lt;&gt;"",'Budget du don'!E28/'Budget du don'!$G$4,"")))</f>
        <v/>
      </c>
      <c r="E28" s="32" t="str">
        <f aca="false">IF('Budget du don'!F28="","",'Budget du don'!F28)</f>
        <v/>
      </c>
      <c r="F28" s="14"/>
      <c r="G28" s="15"/>
      <c r="H28" s="16"/>
      <c r="I28" s="17" t="str">
        <f aca="false">IF(OR(F28="",AND(G28="",H28="")),"",F28*IF(G28&lt;&gt;"",G28,H28/'Budget du don'!$G$4))</f>
        <v/>
      </c>
      <c r="J28" s="32" t="str">
        <f aca="false">IF(OR(E28="",I28=""),"",E28-I28)</f>
        <v/>
      </c>
      <c r="K28" s="33" t="str">
        <f aca="false">IF(OR(D28="",D28=0,F28="",AND(G28="",H28="")),"",(IF(G28&lt;&gt;"",G28,H28/'Budget du don'!$G$4)-D28)/D28)</f>
        <v/>
      </c>
      <c r="L28" s="4"/>
    </row>
    <row r="29" customFormat="false" ht="15" hidden="false" customHeight="false" outlineLevel="0" collapsed="false">
      <c r="A29" s="29" t="str">
        <f aca="false">IF('Budget du don'!A29="","",'Budget du don'!A29)</f>
        <v/>
      </c>
      <c r="B29" s="30" t="str">
        <f aca="false">IF(OR('Budget du don'!A29="",'Budget du don'!B29=""),"",'Budget du don'!B29)</f>
        <v/>
      </c>
      <c r="C29" s="31" t="str">
        <f aca="false">IF(OR('Budget du don'!A29="",'Budget du don'!C29=""),"",'Budget du don'!C29)</f>
        <v/>
      </c>
      <c r="D29" s="32" t="str">
        <f aca="false">IF('Budget du don'!A29="","",IF('Budget du don'!D29&lt;&gt;"",'Budget du don'!D29,IF('Budget du don'!E29&lt;&gt;"",'Budget du don'!E29/'Budget du don'!$G$4,"")))</f>
        <v/>
      </c>
      <c r="E29" s="32" t="str">
        <f aca="false">IF('Budget du don'!F29="","",'Budget du don'!F29)</f>
        <v/>
      </c>
      <c r="F29" s="14"/>
      <c r="G29" s="15"/>
      <c r="H29" s="16"/>
      <c r="I29" s="17" t="str">
        <f aca="false">IF(OR(F29="",AND(G29="",H29="")),"",F29*IF(G29&lt;&gt;"",G29,H29/'Budget du don'!$G$4))</f>
        <v/>
      </c>
      <c r="J29" s="32" t="str">
        <f aca="false">IF(OR(E29="",I29=""),"",E29-I29)</f>
        <v/>
      </c>
      <c r="K29" s="33" t="str">
        <f aca="false">IF(OR(D29="",D29=0,F29="",AND(G29="",H29="")),"",(IF(G29&lt;&gt;"",G29,H29/'Budget du don'!$G$4)-D29)/D29)</f>
        <v/>
      </c>
      <c r="L29" s="4"/>
    </row>
    <row r="30" customFormat="false" ht="15" hidden="false" customHeight="false" outlineLevel="0" collapsed="false">
      <c r="A30" s="29" t="str">
        <f aca="false">IF('Budget du don'!A30="","",'Budget du don'!A30)</f>
        <v/>
      </c>
      <c r="B30" s="30" t="str">
        <f aca="false">IF(OR('Budget du don'!A30="",'Budget du don'!B30=""),"",'Budget du don'!B30)</f>
        <v/>
      </c>
      <c r="C30" s="31" t="str">
        <f aca="false">IF(OR('Budget du don'!A30="",'Budget du don'!C30=""),"",'Budget du don'!C30)</f>
        <v/>
      </c>
      <c r="D30" s="32" t="str">
        <f aca="false">IF('Budget du don'!A30="","",IF('Budget du don'!D30&lt;&gt;"",'Budget du don'!D30,IF('Budget du don'!E30&lt;&gt;"",'Budget du don'!E30/'Budget du don'!$G$4,"")))</f>
        <v/>
      </c>
      <c r="E30" s="32" t="str">
        <f aca="false">IF('Budget du don'!F30="","",'Budget du don'!F30)</f>
        <v/>
      </c>
      <c r="F30" s="14"/>
      <c r="G30" s="15"/>
      <c r="H30" s="16"/>
      <c r="I30" s="17" t="str">
        <f aca="false">IF(OR(F30="",AND(G30="",H30="")),"",F30*IF(G30&lt;&gt;"",G30,H30/'Budget du don'!$G$4))</f>
        <v/>
      </c>
      <c r="J30" s="32" t="str">
        <f aca="false">IF(OR(E30="",I30=""),"",E30-I30)</f>
        <v/>
      </c>
      <c r="K30" s="33" t="str">
        <f aca="false">IF(OR(D30="",D30=0,F30="",AND(G30="",H30="")),"",(IF(G30&lt;&gt;"",G30,H30/'Budget du don'!$G$4)-D30)/D30)</f>
        <v/>
      </c>
      <c r="L30" s="4"/>
    </row>
    <row r="31" customFormat="false" ht="15" hidden="false" customHeight="false" outlineLevel="0" collapsed="false">
      <c r="A31" s="29" t="str">
        <f aca="false">IF('Budget du don'!A31="","",'Budget du don'!A31)</f>
        <v/>
      </c>
      <c r="B31" s="30" t="str">
        <f aca="false">IF(OR('Budget du don'!A31="",'Budget du don'!B31=""),"",'Budget du don'!B31)</f>
        <v/>
      </c>
      <c r="C31" s="31" t="str">
        <f aca="false">IF(OR('Budget du don'!A31="",'Budget du don'!C31=""),"",'Budget du don'!C31)</f>
        <v/>
      </c>
      <c r="D31" s="32" t="str">
        <f aca="false">IF('Budget du don'!A31="","",IF('Budget du don'!D31&lt;&gt;"",'Budget du don'!D31,IF('Budget du don'!E31&lt;&gt;"",'Budget du don'!E31/'Budget du don'!$G$4,"")))</f>
        <v/>
      </c>
      <c r="E31" s="32" t="str">
        <f aca="false">IF('Budget du don'!F31="","",'Budget du don'!F31)</f>
        <v/>
      </c>
      <c r="F31" s="14"/>
      <c r="G31" s="15"/>
      <c r="H31" s="16"/>
      <c r="I31" s="17" t="str">
        <f aca="false">IF(OR(F31="",AND(G31="",H31="")),"",F31*IF(G31&lt;&gt;"",G31,H31/'Budget du don'!$G$4))</f>
        <v/>
      </c>
      <c r="J31" s="32" t="str">
        <f aca="false">IF(OR(E31="",I31=""),"",E31-I31)</f>
        <v/>
      </c>
      <c r="K31" s="33" t="str">
        <f aca="false">IF(OR(D31="",D31=0,F31="",AND(G31="",H31="")),"",(IF(G31&lt;&gt;"",G31,H31/'Budget du don'!$G$4)-D31)/D31)</f>
        <v/>
      </c>
      <c r="L31" s="4"/>
    </row>
    <row r="32" customFormat="false" ht="15" hidden="false" customHeight="false" outlineLevel="0" collapsed="false">
      <c r="A32" s="29" t="str">
        <f aca="false">IF('Budget du don'!A32="","",'Budget du don'!A32)</f>
        <v/>
      </c>
      <c r="B32" s="30" t="str">
        <f aca="false">IF(OR('Budget du don'!A32="",'Budget du don'!B32=""),"",'Budget du don'!B32)</f>
        <v/>
      </c>
      <c r="C32" s="31" t="str">
        <f aca="false">IF(OR('Budget du don'!A32="",'Budget du don'!C32=""),"",'Budget du don'!C32)</f>
        <v/>
      </c>
      <c r="D32" s="32" t="str">
        <f aca="false">IF('Budget du don'!A32="","",IF('Budget du don'!D32&lt;&gt;"",'Budget du don'!D32,IF('Budget du don'!E32&lt;&gt;"",'Budget du don'!E32/'Budget du don'!$G$4,"")))</f>
        <v/>
      </c>
      <c r="E32" s="32" t="str">
        <f aca="false">IF('Budget du don'!F32="","",'Budget du don'!F32)</f>
        <v/>
      </c>
      <c r="F32" s="14"/>
      <c r="G32" s="15"/>
      <c r="H32" s="16"/>
      <c r="I32" s="17" t="str">
        <f aca="false">IF(OR(F32="",AND(G32="",H32="")),"",F32*IF(G32&lt;&gt;"",G32,H32/'Budget du don'!$G$4))</f>
        <v/>
      </c>
      <c r="J32" s="32" t="str">
        <f aca="false">IF(OR(E32="",I32=""),"",E32-I32)</f>
        <v/>
      </c>
      <c r="K32" s="33" t="str">
        <f aca="false">IF(OR(D32="",D32=0,F32="",AND(G32="",H32="")),"",(IF(G32&lt;&gt;"",G32,H32/'Budget du don'!$G$4)-D32)/D32)</f>
        <v/>
      </c>
      <c r="L32" s="4"/>
    </row>
    <row r="33" customFormat="false" ht="15" hidden="false" customHeight="false" outlineLevel="0" collapsed="false">
      <c r="A33" s="29" t="str">
        <f aca="false">IF('Budget du don'!A33="","",'Budget du don'!A33)</f>
        <v/>
      </c>
      <c r="B33" s="30" t="str">
        <f aca="false">IF(OR('Budget du don'!A33="",'Budget du don'!B33=""),"",'Budget du don'!B33)</f>
        <v/>
      </c>
      <c r="C33" s="31" t="str">
        <f aca="false">IF(OR('Budget du don'!A33="",'Budget du don'!C33=""),"",'Budget du don'!C33)</f>
        <v/>
      </c>
      <c r="D33" s="32" t="str">
        <f aca="false">IF('Budget du don'!A33="","",IF('Budget du don'!D33&lt;&gt;"",'Budget du don'!D33,IF('Budget du don'!E33&lt;&gt;"",'Budget du don'!E33/'Budget du don'!$G$4,"")))</f>
        <v/>
      </c>
      <c r="E33" s="32" t="str">
        <f aca="false">IF('Budget du don'!F33="","",'Budget du don'!F33)</f>
        <v/>
      </c>
      <c r="F33" s="14"/>
      <c r="G33" s="15"/>
      <c r="H33" s="16"/>
      <c r="I33" s="17" t="str">
        <f aca="false">IF(OR(F33="",AND(G33="",H33="")),"",F33*IF(G33&lt;&gt;"",G33,H33/'Budget du don'!$G$4))</f>
        <v/>
      </c>
      <c r="J33" s="32" t="str">
        <f aca="false">IF(OR(E33="",I33=""),"",E33-I33)</f>
        <v/>
      </c>
      <c r="K33" s="33" t="str">
        <f aca="false">IF(OR(D33="",D33=0,F33="",AND(G33="",H33="")),"",(IF(G33&lt;&gt;"",G33,H33/'Budget du don'!$G$4)-D33)/D33)</f>
        <v/>
      </c>
      <c r="L33" s="4"/>
    </row>
    <row r="34" customFormat="false" ht="15" hidden="false" customHeight="false" outlineLevel="0" collapsed="false">
      <c r="A34" s="29" t="str">
        <f aca="false">IF('Budget du don'!A34="","",'Budget du don'!A34)</f>
        <v/>
      </c>
      <c r="B34" s="30" t="str">
        <f aca="false">IF(OR('Budget du don'!A34="",'Budget du don'!B34=""),"",'Budget du don'!B34)</f>
        <v/>
      </c>
      <c r="C34" s="31" t="str">
        <f aca="false">IF(OR('Budget du don'!A34="",'Budget du don'!C34=""),"",'Budget du don'!C34)</f>
        <v/>
      </c>
      <c r="D34" s="32" t="str">
        <f aca="false">IF('Budget du don'!A34="","",IF('Budget du don'!D34&lt;&gt;"",'Budget du don'!D34,IF('Budget du don'!E34&lt;&gt;"",'Budget du don'!E34/'Budget du don'!$G$4,"")))</f>
        <v/>
      </c>
      <c r="E34" s="32" t="str">
        <f aca="false">IF('Budget du don'!F34="","",'Budget du don'!F34)</f>
        <v/>
      </c>
      <c r="F34" s="14"/>
      <c r="G34" s="15"/>
      <c r="H34" s="16"/>
      <c r="I34" s="17" t="str">
        <f aca="false">IF(OR(F34="",AND(G34="",H34="")),"",F34*IF(G34&lt;&gt;"",G34,H34/'Budget du don'!$G$4))</f>
        <v/>
      </c>
      <c r="J34" s="32" t="str">
        <f aca="false">IF(OR(E34="",I34=""),"",E34-I34)</f>
        <v/>
      </c>
      <c r="K34" s="33" t="str">
        <f aca="false">IF(OR(D34="",D34=0,F34="",AND(G34="",H34="")),"",(IF(G34&lt;&gt;"",G34,H34/'Budget du don'!$G$4)-D34)/D34)</f>
        <v/>
      </c>
      <c r="L34" s="4"/>
    </row>
    <row r="35" customFormat="false" ht="15" hidden="false" customHeight="false" outlineLevel="0" collapsed="false">
      <c r="A35" s="29" t="str">
        <f aca="false">IF('Budget du don'!A35="","",'Budget du don'!A35)</f>
        <v/>
      </c>
      <c r="B35" s="30" t="str">
        <f aca="false">IF(OR('Budget du don'!A35="",'Budget du don'!B35=""),"",'Budget du don'!B35)</f>
        <v/>
      </c>
      <c r="C35" s="31" t="str">
        <f aca="false">IF(OR('Budget du don'!A35="",'Budget du don'!C35=""),"",'Budget du don'!C35)</f>
        <v/>
      </c>
      <c r="D35" s="32" t="str">
        <f aca="false">IF('Budget du don'!A35="","",IF('Budget du don'!D35&lt;&gt;"",'Budget du don'!D35,IF('Budget du don'!E35&lt;&gt;"",'Budget du don'!E35/'Budget du don'!$G$4,"")))</f>
        <v/>
      </c>
      <c r="E35" s="32" t="str">
        <f aca="false">IF('Budget du don'!F35="","",'Budget du don'!F35)</f>
        <v/>
      </c>
      <c r="F35" s="14"/>
      <c r="G35" s="15"/>
      <c r="H35" s="16"/>
      <c r="I35" s="17" t="str">
        <f aca="false">IF(OR(F35="",AND(G35="",H35="")),"",F35*IF(G35&lt;&gt;"",G35,H35/'Budget du don'!$G$4))</f>
        <v/>
      </c>
      <c r="J35" s="32" t="str">
        <f aca="false">IF(OR(E35="",I35=""),"",E35-I35)</f>
        <v/>
      </c>
      <c r="K35" s="33" t="str">
        <f aca="false">IF(OR(D35="",D35=0,F35="",AND(G35="",H35="")),"",(IF(G35&lt;&gt;"",G35,H35/'Budget du don'!$G$4)-D35)/D35)</f>
        <v/>
      </c>
      <c r="L35" s="4"/>
    </row>
    <row r="36" customFormat="false" ht="15" hidden="false" customHeight="false" outlineLevel="0" collapsed="false">
      <c r="A36" s="29" t="str">
        <f aca="false">IF('Budget du don'!A36="","",'Budget du don'!A36)</f>
        <v/>
      </c>
      <c r="B36" s="30" t="str">
        <f aca="false">IF(OR('Budget du don'!A36="",'Budget du don'!B36=""),"",'Budget du don'!B36)</f>
        <v/>
      </c>
      <c r="C36" s="31" t="str">
        <f aca="false">IF(OR('Budget du don'!A36="",'Budget du don'!C36=""),"",'Budget du don'!C36)</f>
        <v/>
      </c>
      <c r="D36" s="32" t="str">
        <f aca="false">IF('Budget du don'!A36="","",IF('Budget du don'!D36&lt;&gt;"",'Budget du don'!D36,IF('Budget du don'!E36&lt;&gt;"",'Budget du don'!E36/'Budget du don'!$G$4,"")))</f>
        <v/>
      </c>
      <c r="E36" s="32" t="str">
        <f aca="false">IF('Budget du don'!F36="","",'Budget du don'!F36)</f>
        <v/>
      </c>
      <c r="F36" s="14"/>
      <c r="G36" s="15"/>
      <c r="H36" s="16"/>
      <c r="I36" s="17" t="str">
        <f aca="false">IF(OR(F36="",AND(G36="",H36="")),"",F36*IF(G36&lt;&gt;"",G36,H36/'Budget du don'!$G$4))</f>
        <v/>
      </c>
      <c r="J36" s="32" t="str">
        <f aca="false">IF(OR(E36="",I36=""),"",E36-I36)</f>
        <v/>
      </c>
      <c r="K36" s="33" t="str">
        <f aca="false">IF(OR(D36="",D36=0,F36="",AND(G36="",H36="")),"",(IF(G36&lt;&gt;"",G36,H36/'Budget du don'!$G$4)-D36)/D36)</f>
        <v/>
      </c>
      <c r="L36" s="4"/>
    </row>
    <row r="37" customFormat="false" ht="15" hidden="false" customHeight="false" outlineLevel="0" collapsed="false">
      <c r="A37" s="29" t="str">
        <f aca="false">IF('Budget du don'!A37="","",'Budget du don'!A37)</f>
        <v/>
      </c>
      <c r="B37" s="30" t="str">
        <f aca="false">IF(OR('Budget du don'!A37="",'Budget du don'!B37=""),"",'Budget du don'!B37)</f>
        <v/>
      </c>
      <c r="C37" s="31" t="str">
        <f aca="false">IF(OR('Budget du don'!A37="",'Budget du don'!C37=""),"",'Budget du don'!C37)</f>
        <v/>
      </c>
      <c r="D37" s="32" t="str">
        <f aca="false">IF('Budget du don'!A37="","",IF('Budget du don'!D37&lt;&gt;"",'Budget du don'!D37,IF('Budget du don'!E37&lt;&gt;"",'Budget du don'!E37/'Budget du don'!$G$4,"")))</f>
        <v/>
      </c>
      <c r="E37" s="32" t="str">
        <f aca="false">IF('Budget du don'!F37="","",'Budget du don'!F37)</f>
        <v/>
      </c>
      <c r="F37" s="14"/>
      <c r="G37" s="15"/>
      <c r="H37" s="16"/>
      <c r="I37" s="17" t="str">
        <f aca="false">IF(OR(F37="",AND(G37="",H37="")),"",F37*IF(G37&lt;&gt;"",G37,H37/'Budget du don'!$G$4))</f>
        <v/>
      </c>
      <c r="J37" s="32" t="str">
        <f aca="false">IF(OR(E37="",I37=""),"",E37-I37)</f>
        <v/>
      </c>
      <c r="K37" s="33" t="str">
        <f aca="false">IF(OR(D37="",D37=0,F37="",AND(G37="",H37="")),"",(IF(G37&lt;&gt;"",G37,H37/'Budget du don'!$G$4)-D37)/D37)</f>
        <v/>
      </c>
      <c r="L37" s="4"/>
    </row>
    <row r="38" customFormat="false" ht="15" hidden="false" customHeight="false" outlineLevel="0" collapsed="false">
      <c r="A38" s="29" t="str">
        <f aca="false">IF('Budget du don'!A38="","",'Budget du don'!A38)</f>
        <v/>
      </c>
      <c r="B38" s="30" t="str">
        <f aca="false">IF(OR('Budget du don'!A38="",'Budget du don'!B38=""),"",'Budget du don'!B38)</f>
        <v/>
      </c>
      <c r="C38" s="31" t="str">
        <f aca="false">IF(OR('Budget du don'!A38="",'Budget du don'!C38=""),"",'Budget du don'!C38)</f>
        <v/>
      </c>
      <c r="D38" s="32" t="str">
        <f aca="false">IF('Budget du don'!A38="","",IF('Budget du don'!D38&lt;&gt;"",'Budget du don'!D38,IF('Budget du don'!E38&lt;&gt;"",'Budget du don'!E38/'Budget du don'!$G$4,"")))</f>
        <v/>
      </c>
      <c r="E38" s="32" t="str">
        <f aca="false">IF('Budget du don'!F38="","",'Budget du don'!F38)</f>
        <v/>
      </c>
      <c r="F38" s="14"/>
      <c r="G38" s="15"/>
      <c r="H38" s="16"/>
      <c r="I38" s="17" t="str">
        <f aca="false">IF(OR(F38="",AND(G38="",H38="")),"",F38*IF(G38&lt;&gt;"",G38,H38/'Budget du don'!$G$4))</f>
        <v/>
      </c>
      <c r="J38" s="32" t="str">
        <f aca="false">IF(OR(E38="",I38=""),"",E38-I38)</f>
        <v/>
      </c>
      <c r="K38" s="33" t="str">
        <f aca="false">IF(OR(D38="",D38=0,F38="",AND(G38="",H38="")),"",(IF(G38&lt;&gt;"",G38,H38/'Budget du don'!$G$4)-D38)/D38)</f>
        <v/>
      </c>
      <c r="L38" s="4"/>
    </row>
    <row r="39" customFormat="false" ht="15" hidden="false" customHeight="false" outlineLevel="0" collapsed="false">
      <c r="A39" s="29" t="str">
        <f aca="false">IF('Budget du don'!A39="","",'Budget du don'!A39)</f>
        <v/>
      </c>
      <c r="B39" s="30" t="str">
        <f aca="false">IF(OR('Budget du don'!A39="",'Budget du don'!B39=""),"",'Budget du don'!B39)</f>
        <v/>
      </c>
      <c r="C39" s="31" t="str">
        <f aca="false">IF(OR('Budget du don'!A39="",'Budget du don'!C39=""),"",'Budget du don'!C39)</f>
        <v/>
      </c>
      <c r="D39" s="32" t="str">
        <f aca="false">IF('Budget du don'!A39="","",IF('Budget du don'!D39&lt;&gt;"",'Budget du don'!D39,IF('Budget du don'!E39&lt;&gt;"",'Budget du don'!E39/'Budget du don'!$G$4,"")))</f>
        <v/>
      </c>
      <c r="E39" s="32" t="str">
        <f aca="false">IF('Budget du don'!F39="","",'Budget du don'!F39)</f>
        <v/>
      </c>
      <c r="F39" s="14"/>
      <c r="G39" s="15"/>
      <c r="H39" s="16"/>
      <c r="I39" s="17" t="str">
        <f aca="false">IF(OR(F39="",AND(G39="",H39="")),"",F39*IF(G39&lt;&gt;"",G39,H39/'Budget du don'!$G$4))</f>
        <v/>
      </c>
      <c r="J39" s="32" t="str">
        <f aca="false">IF(OR(E39="",I39=""),"",E39-I39)</f>
        <v/>
      </c>
      <c r="K39" s="33" t="str">
        <f aca="false">IF(OR(D39="",D39=0,F39="",AND(G39="",H39="")),"",(IF(G39&lt;&gt;"",G39,H39/'Budget du don'!$G$4)-D39)/D39)</f>
        <v/>
      </c>
      <c r="L39" s="4"/>
    </row>
    <row r="40" customFormat="false" ht="15" hidden="false" customHeight="false" outlineLevel="0" collapsed="false">
      <c r="A40" s="29" t="str">
        <f aca="false">IF('Budget du don'!A40="","",'Budget du don'!A40)</f>
        <v/>
      </c>
      <c r="B40" s="30" t="str">
        <f aca="false">IF(OR('Budget du don'!A40="",'Budget du don'!B40=""),"",'Budget du don'!B40)</f>
        <v/>
      </c>
      <c r="C40" s="31" t="str">
        <f aca="false">IF(OR('Budget du don'!A40="",'Budget du don'!C40=""),"",'Budget du don'!C40)</f>
        <v/>
      </c>
      <c r="D40" s="32" t="str">
        <f aca="false">IF('Budget du don'!A40="","",IF('Budget du don'!D40&lt;&gt;"",'Budget du don'!D40,IF('Budget du don'!E40&lt;&gt;"",'Budget du don'!E40/'Budget du don'!$G$4,"")))</f>
        <v/>
      </c>
      <c r="E40" s="32" t="str">
        <f aca="false">IF('Budget du don'!F40="","",'Budget du don'!F40)</f>
        <v/>
      </c>
      <c r="F40" s="14"/>
      <c r="G40" s="15"/>
      <c r="H40" s="16"/>
      <c r="I40" s="17" t="str">
        <f aca="false">IF(OR(F40="",AND(G40="",H40="")),"",F40*IF(G40&lt;&gt;"",G40,H40/'Budget du don'!$G$4))</f>
        <v/>
      </c>
      <c r="J40" s="32" t="str">
        <f aca="false">IF(OR(E40="",I40=""),"",E40-I40)</f>
        <v/>
      </c>
      <c r="K40" s="33" t="str">
        <f aca="false">IF(OR(D40="",D40=0,F40="",AND(G40="",H40="")),"",(IF(G40&lt;&gt;"",G40,H40/'Budget du don'!$G$4)-D40)/D40)</f>
        <v/>
      </c>
      <c r="L40" s="4"/>
    </row>
    <row r="41" customFormat="false" ht="15" hidden="false" customHeight="false" outlineLevel="0" collapsed="false">
      <c r="A41" s="29" t="str">
        <f aca="false">IF('Budget du don'!A41="","",'Budget du don'!A41)</f>
        <v/>
      </c>
      <c r="B41" s="30" t="str">
        <f aca="false">IF(OR('Budget du don'!A41="",'Budget du don'!B41=""),"",'Budget du don'!B41)</f>
        <v/>
      </c>
      <c r="C41" s="31" t="str">
        <f aca="false">IF(OR('Budget du don'!A41="",'Budget du don'!C41=""),"",'Budget du don'!C41)</f>
        <v/>
      </c>
      <c r="D41" s="32" t="str">
        <f aca="false">IF('Budget du don'!A41="","",IF('Budget du don'!D41&lt;&gt;"",'Budget du don'!D41,IF('Budget du don'!E41&lt;&gt;"",'Budget du don'!E41/'Budget du don'!$G$4,"")))</f>
        <v/>
      </c>
      <c r="E41" s="32" t="str">
        <f aca="false">IF('Budget du don'!F41="","",'Budget du don'!F41)</f>
        <v/>
      </c>
      <c r="F41" s="14"/>
      <c r="G41" s="15"/>
      <c r="H41" s="16"/>
      <c r="I41" s="17" t="str">
        <f aca="false">IF(OR(F41="",AND(G41="",H41="")),"",F41*IF(G41&lt;&gt;"",G41,H41/'Budget du don'!$G$4))</f>
        <v/>
      </c>
      <c r="J41" s="32" t="str">
        <f aca="false">IF(OR(E41="",I41=""),"",E41-I41)</f>
        <v/>
      </c>
      <c r="K41" s="33" t="str">
        <f aca="false">IF(OR(D41="",D41=0,F41="",AND(G41="",H41="")),"",(IF(G41&lt;&gt;"",G41,H41/'Budget du don'!$G$4)-D41)/D41)</f>
        <v/>
      </c>
      <c r="L41" s="4"/>
    </row>
    <row r="42" customFormat="false" ht="15" hidden="false" customHeight="false" outlineLevel="0" collapsed="false">
      <c r="A42" s="29" t="str">
        <f aca="false">IF('Budget du don'!A42="","",'Budget du don'!A42)</f>
        <v/>
      </c>
      <c r="B42" s="30" t="str">
        <f aca="false">IF(OR('Budget du don'!A42="",'Budget du don'!B42=""),"",'Budget du don'!B42)</f>
        <v/>
      </c>
      <c r="C42" s="31" t="str">
        <f aca="false">IF(OR('Budget du don'!A42="",'Budget du don'!C42=""),"",'Budget du don'!C42)</f>
        <v/>
      </c>
      <c r="D42" s="32" t="str">
        <f aca="false">IF('Budget du don'!A42="","",IF('Budget du don'!D42&lt;&gt;"",'Budget du don'!D42,IF('Budget du don'!E42&lt;&gt;"",'Budget du don'!E42/'Budget du don'!$G$4,"")))</f>
        <v/>
      </c>
      <c r="E42" s="32" t="str">
        <f aca="false">IF('Budget du don'!F42="","",'Budget du don'!F42)</f>
        <v/>
      </c>
      <c r="F42" s="14"/>
      <c r="G42" s="15"/>
      <c r="H42" s="16"/>
      <c r="I42" s="17" t="str">
        <f aca="false">IF(OR(F42="",AND(G42="",H42="")),"",F42*IF(G42&lt;&gt;"",G42,H42/'Budget du don'!$G$4))</f>
        <v/>
      </c>
      <c r="J42" s="32" t="str">
        <f aca="false">IF(OR(E42="",I42=""),"",E42-I42)</f>
        <v/>
      </c>
      <c r="K42" s="33" t="str">
        <f aca="false">IF(OR(D42="",D42=0,F42="",AND(G42="",H42="")),"",(IF(G42&lt;&gt;"",G42,H42/'Budget du don'!$G$4)-D42)/D42)</f>
        <v/>
      </c>
      <c r="L42" s="4"/>
    </row>
    <row r="43" customFormat="false" ht="15" hidden="false" customHeight="false" outlineLevel="0" collapsed="false">
      <c r="A43" s="29" t="str">
        <f aca="false">IF('Budget du don'!A43="","",'Budget du don'!A43)</f>
        <v/>
      </c>
      <c r="B43" s="30" t="str">
        <f aca="false">IF(OR('Budget du don'!A43="",'Budget du don'!B43=""),"",'Budget du don'!B43)</f>
        <v/>
      </c>
      <c r="C43" s="31" t="str">
        <f aca="false">IF(OR('Budget du don'!A43="",'Budget du don'!C43=""),"",'Budget du don'!C43)</f>
        <v/>
      </c>
      <c r="D43" s="32" t="str">
        <f aca="false">IF('Budget du don'!A43="","",IF('Budget du don'!D43&lt;&gt;"",'Budget du don'!D43,IF('Budget du don'!E43&lt;&gt;"",'Budget du don'!E43/'Budget du don'!$G$4,"")))</f>
        <v/>
      </c>
      <c r="E43" s="32" t="str">
        <f aca="false">IF('Budget du don'!F43="","",'Budget du don'!F43)</f>
        <v/>
      </c>
      <c r="F43" s="14"/>
      <c r="G43" s="15"/>
      <c r="H43" s="16"/>
      <c r="I43" s="17" t="str">
        <f aca="false">IF(OR(F43="",AND(G43="",H43="")),"",F43*IF(G43&lt;&gt;"",G43,H43/'Budget du don'!$G$4))</f>
        <v/>
      </c>
      <c r="J43" s="32" t="str">
        <f aca="false">IF(OR(E43="",I43=""),"",E43-I43)</f>
        <v/>
      </c>
      <c r="K43" s="33" t="str">
        <f aca="false">IF(OR(D43="",D43=0,F43="",AND(G43="",H43="")),"",(IF(G43&lt;&gt;"",G43,H43/'Budget du don'!$G$4)-D43)/D43)</f>
        <v/>
      </c>
      <c r="L43" s="4"/>
    </row>
    <row r="44" customFormat="false" ht="15" hidden="false" customHeight="false" outlineLevel="0" collapsed="false">
      <c r="A44" s="29" t="str">
        <f aca="false">IF('Budget du don'!A44="","",'Budget du don'!A44)</f>
        <v/>
      </c>
      <c r="B44" s="30" t="str">
        <f aca="false">IF(OR('Budget du don'!A44="",'Budget du don'!B44=""),"",'Budget du don'!B44)</f>
        <v/>
      </c>
      <c r="C44" s="31" t="str">
        <f aca="false">IF(OR('Budget du don'!A44="",'Budget du don'!C44=""),"",'Budget du don'!C44)</f>
        <v/>
      </c>
      <c r="D44" s="32" t="str">
        <f aca="false">IF('Budget du don'!A44="","",IF('Budget du don'!D44&lt;&gt;"",'Budget du don'!D44,IF('Budget du don'!E44&lt;&gt;"",'Budget du don'!E44/'Budget du don'!$G$4,"")))</f>
        <v/>
      </c>
      <c r="E44" s="32" t="str">
        <f aca="false">IF('Budget du don'!F44="","",'Budget du don'!F44)</f>
        <v/>
      </c>
      <c r="F44" s="14"/>
      <c r="G44" s="15"/>
      <c r="H44" s="16"/>
      <c r="I44" s="17" t="str">
        <f aca="false">IF(OR(F44="",AND(G44="",H44="")),"",F44*IF(G44&lt;&gt;"",G44,H44/'Budget du don'!$G$4))</f>
        <v/>
      </c>
      <c r="J44" s="32" t="str">
        <f aca="false">IF(OR(E44="",I44=""),"",E44-I44)</f>
        <v/>
      </c>
      <c r="K44" s="33" t="str">
        <f aca="false">IF(OR(D44="",D44=0,F44="",AND(G44="",H44="")),"",(IF(G44&lt;&gt;"",G44,H44/'Budget du don'!$G$4)-D44)/D44)</f>
        <v/>
      </c>
      <c r="L44" s="4"/>
    </row>
    <row r="45" customFormat="false" ht="15" hidden="false" customHeight="false" outlineLevel="0" collapsed="false">
      <c r="A45" s="29" t="str">
        <f aca="false">IF('Budget du don'!A45="","",'Budget du don'!A45)</f>
        <v/>
      </c>
      <c r="B45" s="30" t="str">
        <f aca="false">IF(OR('Budget du don'!A45="",'Budget du don'!B45=""),"",'Budget du don'!B45)</f>
        <v/>
      </c>
      <c r="C45" s="31" t="str">
        <f aca="false">IF(OR('Budget du don'!A45="",'Budget du don'!C45=""),"",'Budget du don'!C45)</f>
        <v/>
      </c>
      <c r="D45" s="32" t="str">
        <f aca="false">IF('Budget du don'!A45="","",IF('Budget du don'!D45&lt;&gt;"",'Budget du don'!D45,IF('Budget du don'!E45&lt;&gt;"",'Budget du don'!E45/'Budget du don'!$G$4,"")))</f>
        <v/>
      </c>
      <c r="E45" s="32" t="str">
        <f aca="false">IF('Budget du don'!F45="","",'Budget du don'!F45)</f>
        <v/>
      </c>
      <c r="F45" s="14"/>
      <c r="G45" s="15"/>
      <c r="H45" s="16"/>
      <c r="I45" s="17" t="str">
        <f aca="false">IF(OR(F45="",AND(G45="",H45="")),"",F45*IF(G45&lt;&gt;"",G45,H45/'Budget du don'!$G$4))</f>
        <v/>
      </c>
      <c r="J45" s="32" t="str">
        <f aca="false">IF(OR(E45="",I45=""),"",E45-I45)</f>
        <v/>
      </c>
      <c r="K45" s="33" t="str">
        <f aca="false">IF(OR(D45="",D45=0,F45="",AND(G45="",H45="")),"",(IF(G45&lt;&gt;"",G45,H45/'Budget du don'!$G$4)-D45)/D45)</f>
        <v/>
      </c>
      <c r="L45" s="4"/>
    </row>
    <row r="46" customFormat="false" ht="15" hidden="false" customHeight="false" outlineLevel="0" collapsed="false">
      <c r="A46" s="29" t="str">
        <f aca="false">IF('Budget du don'!A46="","",'Budget du don'!A46)</f>
        <v/>
      </c>
      <c r="B46" s="30" t="str">
        <f aca="false">IF(OR('Budget du don'!A46="",'Budget du don'!B46=""),"",'Budget du don'!B46)</f>
        <v/>
      </c>
      <c r="C46" s="31" t="str">
        <f aca="false">IF(OR('Budget du don'!A46="",'Budget du don'!C46=""),"",'Budget du don'!C46)</f>
        <v/>
      </c>
      <c r="D46" s="32" t="str">
        <f aca="false">IF('Budget du don'!A46="","",IF('Budget du don'!D46&lt;&gt;"",'Budget du don'!D46,IF('Budget du don'!E46&lt;&gt;"",'Budget du don'!E46/'Budget du don'!$G$4,"")))</f>
        <v/>
      </c>
      <c r="E46" s="32" t="str">
        <f aca="false">IF('Budget du don'!F46="","",'Budget du don'!F46)</f>
        <v/>
      </c>
      <c r="F46" s="14"/>
      <c r="G46" s="15"/>
      <c r="H46" s="16"/>
      <c r="I46" s="17" t="str">
        <f aca="false">IF(OR(F46="",AND(G46="",H46="")),"",F46*IF(G46&lt;&gt;"",G46,H46/'Budget du don'!$G$4))</f>
        <v/>
      </c>
      <c r="J46" s="32" t="str">
        <f aca="false">IF(OR(E46="",I46=""),"",E46-I46)</f>
        <v/>
      </c>
      <c r="K46" s="33" t="str">
        <f aca="false">IF(OR(D46="",D46=0,F46="",AND(G46="",H46="")),"",(IF(G46&lt;&gt;"",G46,H46/'Budget du don'!$G$4)-D46)/D46)</f>
        <v/>
      </c>
      <c r="L46" s="4"/>
    </row>
    <row r="47" customFormat="false" ht="15" hidden="false" customHeight="false" outlineLevel="0" collapsed="false">
      <c r="A47" s="29" t="str">
        <f aca="false">IF('Budget du don'!A47="","",'Budget du don'!A47)</f>
        <v/>
      </c>
      <c r="B47" s="30" t="str">
        <f aca="false">IF(OR('Budget du don'!A47="",'Budget du don'!B47=""),"",'Budget du don'!B47)</f>
        <v/>
      </c>
      <c r="C47" s="31" t="str">
        <f aca="false">IF(OR('Budget du don'!A47="",'Budget du don'!C47=""),"",'Budget du don'!C47)</f>
        <v/>
      </c>
      <c r="D47" s="32" t="str">
        <f aca="false">IF('Budget du don'!A47="","",IF('Budget du don'!D47&lt;&gt;"",'Budget du don'!D47,IF('Budget du don'!E47&lt;&gt;"",'Budget du don'!E47/'Budget du don'!$G$4,"")))</f>
        <v/>
      </c>
      <c r="E47" s="32" t="str">
        <f aca="false">IF('Budget du don'!F47="","",'Budget du don'!F47)</f>
        <v/>
      </c>
      <c r="F47" s="14"/>
      <c r="G47" s="15"/>
      <c r="H47" s="16"/>
      <c r="I47" s="17" t="str">
        <f aca="false">IF(OR(F47="",AND(G47="",H47="")),"",F47*IF(G47&lt;&gt;"",G47,H47/'Budget du don'!$G$4))</f>
        <v/>
      </c>
      <c r="J47" s="32" t="str">
        <f aca="false">IF(OR(E47="",I47=""),"",E47-I47)</f>
        <v/>
      </c>
      <c r="K47" s="33" t="str">
        <f aca="false">IF(OR(D47="",D47=0,F47="",AND(G47="",H47="")),"",(IF(G47&lt;&gt;"",G47,H47/'Budget du don'!$G$4)-D47)/D47)</f>
        <v/>
      </c>
      <c r="L47" s="4"/>
    </row>
    <row r="48" customFormat="false" ht="15" hidden="false" customHeight="false" outlineLevel="0" collapsed="false">
      <c r="A48" s="29" t="str">
        <f aca="false">IF('Budget du don'!A48="","",'Budget du don'!A48)</f>
        <v/>
      </c>
      <c r="B48" s="30" t="str">
        <f aca="false">IF(OR('Budget du don'!A48="",'Budget du don'!B48=""),"",'Budget du don'!B48)</f>
        <v/>
      </c>
      <c r="C48" s="31" t="str">
        <f aca="false">IF(OR('Budget du don'!A48="",'Budget du don'!C48=""),"",'Budget du don'!C48)</f>
        <v/>
      </c>
      <c r="D48" s="32" t="str">
        <f aca="false">IF('Budget du don'!A48="","",IF('Budget du don'!D48&lt;&gt;"",'Budget du don'!D48,IF('Budget du don'!E48&lt;&gt;"",'Budget du don'!E48/'Budget du don'!$G$4,"")))</f>
        <v/>
      </c>
      <c r="E48" s="32" t="str">
        <f aca="false">IF('Budget du don'!F48="","",'Budget du don'!F48)</f>
        <v/>
      </c>
      <c r="F48" s="14"/>
      <c r="G48" s="15"/>
      <c r="H48" s="16"/>
      <c r="I48" s="17" t="str">
        <f aca="false">IF(OR(F48="",AND(G48="",H48="")),"",F48*IF(G48&lt;&gt;"",G48,H48/'Budget du don'!$G$4))</f>
        <v/>
      </c>
      <c r="J48" s="32" t="str">
        <f aca="false">IF(OR(E48="",I48=""),"",E48-I48)</f>
        <v/>
      </c>
      <c r="K48" s="33" t="str">
        <f aca="false">IF(OR(D48="",D48=0,F48="",AND(G48="",H48="")),"",(IF(G48&lt;&gt;"",G48,H48/'Budget du don'!$G$4)-D48)/D48)</f>
        <v/>
      </c>
      <c r="L48" s="4"/>
    </row>
    <row r="49" customFormat="false" ht="21.75" hidden="false" customHeight="true" outlineLevel="0" collapsed="false">
      <c r="A49" s="34" t="s">
        <v>53</v>
      </c>
      <c r="B49" s="35"/>
      <c r="C49" s="35"/>
      <c r="D49" s="35"/>
      <c r="E49" s="36" t="n">
        <f aca="false">SUM(E9:E48)</f>
        <v>182.938820684892</v>
      </c>
      <c r="F49" s="35"/>
      <c r="G49" s="35"/>
      <c r="H49" s="35"/>
      <c r="I49" s="36" t="n">
        <f aca="false">SUM(I9:I48)</f>
        <v>195.134742063885</v>
      </c>
      <c r="J49" s="36" t="n">
        <f aca="false">SUM(J9:J48)</f>
        <v>-12.1959213789929</v>
      </c>
      <c r="K49" s="37" t="n">
        <f aca="false">IF(SUM(E9:E48)=0,"",(SUM(I9:I48)-SUM(E9:E48))/SUM(E9:E48))</f>
        <v>0.0666666666666669</v>
      </c>
      <c r="L49" s="35"/>
    </row>
  </sheetData>
  <mergeCells count="13">
    <mergeCell ref="A1:L1"/>
    <mergeCell ref="A2:L2"/>
    <mergeCell ref="A4:B4"/>
    <mergeCell ref="C4:D4"/>
    <mergeCell ref="E4:F4"/>
    <mergeCell ref="G4:H4"/>
    <mergeCell ref="A5:B5"/>
    <mergeCell ref="C5:D5"/>
    <mergeCell ref="E5:F5"/>
    <mergeCell ref="G5:H5"/>
    <mergeCell ref="A7:E7"/>
    <mergeCell ref="F7:I7"/>
    <mergeCell ref="J7:L7"/>
  </mergeCells>
  <conditionalFormatting sqref="J9:J4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K9:K48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2026-07-29T08:35:18Z</dcterms:created>
  <dc:creator>openpyxl</dc:creator>
  <dc:description/>
  <dc:language>en-US</dc:language>
  <cp:lastModifiedBy/>
  <dcterms:modified xsi:type="dcterms:W3CDTF">2026-07-29T08:35:18Z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