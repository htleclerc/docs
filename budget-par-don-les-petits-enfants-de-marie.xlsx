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du don" sheetId="1" state="visible" r:id="rId3"/>
    <sheet name="Comparatif" sheetId="2" state="visible" r:id="rId4"/>
    <sheet name="Budget annuel" sheetId="3" state="visible" r:id="rId5"/>
    <sheet name="Prix" sheetId="4" state="visible" r:id="rId6"/>
    <sheet name="Détails des d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<sst xmlns="http://schemas.openxmlformats.org/spreadsheetml/2006/main" count="137" uniqueCount="98">
  <si>
    <t xml:space="preserve">BUDGET PAR DON — LISTE D'ACHATS</t>
  </si>
  <si>
    <t xml:space="preserve">Préparez ici le budget d'un don : les articles à acheter, l'unité, la quantité et le prix unitaire saisi en € OU en FCFA (une seule des deux colonnes jaunes) — la conversion s'affiche automatiquement dans les deux monnaies. Le montant total en bas vous donne l'enveloppe à envoyer à la logistique. La ligne 9 est un exemple.</t>
  </si>
  <si>
    <t xml:space="preserve">Campagne / don :</t>
  </si>
  <si>
    <t xml:space="preserve">Noël 2025</t>
  </si>
  <si>
    <t xml:space="preserve">Date d'envoi prévue :</t>
  </si>
  <si>
    <t xml:space="preserve">Destination :</t>
  </si>
  <si>
    <t xml:space="preserve">Orphelinat Sainte-Marie, Cotonou</t>
  </si>
  <si>
    <t xml:space="preserve">Taux (1 € = X FCFA) :</t>
  </si>
  <si>
    <t xml:space="preserve">BUDGET TOTAL DU DON (€)</t>
  </si>
  <si>
    <t xml:space="preserve">BUDGET TOTAL (FCFA)</t>
  </si>
  <si>
    <t xml:space="preserve">NOMBRE D'ARTICLES</t>
  </si>
  <si>
    <t xml:space="preserve">Article à acheter</t>
  </si>
  <si>
    <t xml:space="preserve">Unité</t>
  </si>
  <si>
    <t xml:space="preserve">Quantité</t>
  </si>
  <si>
    <t xml:space="preserve">PU saisi (€)</t>
  </si>
  <si>
    <t xml:space="preserve">PU saisi (FCFA)</t>
  </si>
  <si>
    <t xml:space="preserve">Prix unitaire (€)</t>
  </si>
  <si>
    <t xml:space="preserve">Prix unitaire (FCFA)</t>
  </si>
  <si>
    <t xml:space="preserve">Montant (€)</t>
  </si>
  <si>
    <t xml:space="preserve">Montant (FCFA)</t>
  </si>
  <si>
    <t xml:space="preserve">Sac de riz 25 kg</t>
  </si>
  <si>
    <t xml:space="preserve">sac</t>
  </si>
  <si>
    <t xml:space="preserve">Cahier 96 pages</t>
  </si>
  <si>
    <t xml:space="preserve">pièce</t>
  </si>
  <si>
    <t xml:space="preserve">Stylo bleu</t>
  </si>
  <si>
    <t xml:space="preserve">Cartable</t>
  </si>
  <si>
    <t xml:space="preserve">Craie blanche</t>
  </si>
  <si>
    <t xml:space="preserve">boîte de 100</t>
  </si>
  <si>
    <t xml:space="preserve">Huile végétale</t>
  </si>
  <si>
    <t xml:space="preserve">bidon 1 L</t>
  </si>
  <si>
    <t xml:space="preserve">Savon</t>
  </si>
  <si>
    <t xml:space="preserve">Vêtements enfant</t>
  </si>
  <si>
    <t xml:space="preserve">lot</t>
  </si>
  <si>
    <t xml:space="preserve">TOTAL — ENVELOPPE À ENVOYER</t>
  </si>
  <si>
    <t xml:space="preserve">COMPARATIF MONTANT TOTAL PRÉVU / DÉPENSES RÉELLES</t>
  </si>
  <si>
    <t xml:space="preserve">La partie « Prévu » se remplit toute seule depuis l'onglet Budget du don. Après les achats, saisissez la quantité et le prix réellement payés — en € OU en FCFA : dès qu'un montant est saisi en FCFA, il est converti en euros automatiquement. Chaque colonne en euros a sa jumelle en FCFA. Écart en vert = économie, en rouge = dépassement.</t>
  </si>
  <si>
    <t xml:space="preserve">MONTANT TOTAL PRÉVU (€)</t>
  </si>
  <si>
    <t xml:space="preserve">MONTANT TOTAL PRÉVU (FCFA)</t>
  </si>
  <si>
    <t xml:space="preserve">DÉPENSES RÉELLES (€)</t>
  </si>
  <si>
    <t xml:space="preserve">DÉPENSES RÉELLES (FCFA)</t>
  </si>
  <si>
    <t xml:space="preserve">ÉCART GLOBAL (€)</t>
  </si>
  <si>
    <t xml:space="preserve">% DU MONTANT PRÉVU DÉPENSÉ</t>
  </si>
  <si>
    <t xml:space="preserve">MONTANT TOTAL PRÉVU (automatique)</t>
  </si>
  <si>
    <t xml:space="preserve">DÉPENSES RÉELLES (à saisir : € ou FCFA)</t>
  </si>
  <si>
    <t xml:space="preserve">ANALYSE (automatique)</t>
  </si>
  <si>
    <t xml:space="preserve">Article</t>
  </si>
  <si>
    <t xml:space="preserve">Qté prévue</t>
  </si>
  <si>
    <t xml:space="preserve">PU prévu (€)</t>
  </si>
  <si>
    <t xml:space="preserve">PU prévu (FCFA)</t>
  </si>
  <si>
    <t xml:space="preserve">Montant total prévu (€)</t>
  </si>
  <si>
    <t xml:space="preserve">Montant total prévu (FCFA)</t>
  </si>
  <si>
    <t xml:space="preserve">Qté réelle</t>
  </si>
  <si>
    <t xml:space="preserve">PU réel (€)</t>
  </si>
  <si>
    <t xml:space="preserve">PU réel (FCFA)</t>
  </si>
  <si>
    <t xml:space="preserve">Dépense réelle (€)</t>
  </si>
  <si>
    <t xml:space="preserve">Dépense réelle (FCFA)</t>
  </si>
  <si>
    <t xml:space="preserve">Écart (€)</t>
  </si>
  <si>
    <t xml:space="preserve">Écart (FCFA)</t>
  </si>
  <si>
    <t xml:space="preserve">Écart de prix unitaire</t>
  </si>
  <si>
    <t xml:space="preserve">Commentaire / analyse</t>
  </si>
  <si>
    <t xml:space="preserve">Prix du riz en hausse depuis la dernière campagne</t>
  </si>
  <si>
    <t xml:space="preserve">TOTAL</t>
  </si>
  <si>
    <t xml:space="preserve">BUDGET ANNUEL PAR POSTE</t>
  </si>
  <si>
    <t xml:space="preserve">Votre budget global de l'année, par poste de dépense — modifiable à tout moment. Saisissez le budget prévu et le dépensé réel en € OU en FCFA (une seule des deux colonnes jaunes) : la conversion s'affiche dans les deux monnaies, et l'écart et le % consommé se calculent automatiquement (rouge = budget dépassé).</t>
  </si>
  <si>
    <t xml:space="preserve">Année :</t>
  </si>
  <si>
    <t xml:space="preserve">BUDGET PRÉVU</t>
  </si>
  <si>
    <t xml:space="preserve">DÉPENSÉ RÉEL</t>
  </si>
  <si>
    <t xml:space="preserve">ANALYSE</t>
  </si>
  <si>
    <t xml:space="preserve">Poste / Catégorie</t>
  </si>
  <si>
    <t xml:space="preserve">Saisi (€)</t>
  </si>
  <si>
    <t xml:space="preserve">Saisi (FCFA)</t>
  </si>
  <si>
    <t xml:space="preserve">Budget prévu (€)</t>
  </si>
  <si>
    <t xml:space="preserve">Budget prévu (FCFA)</t>
  </si>
  <si>
    <t xml:space="preserve">Dépensé réel (€)</t>
  </si>
  <si>
    <t xml:space="preserve">Dépensé réel (FCFA)</t>
  </si>
  <si>
    <t xml:space="preserve">% consommé</t>
  </si>
  <si>
    <t xml:space="preserve">Achats articles</t>
  </si>
  <si>
    <t xml:space="preserve">Logistique</t>
  </si>
  <si>
    <t xml:space="preserve">Transport</t>
  </si>
  <si>
    <t xml:space="preserve">Frais divers</t>
  </si>
  <si>
    <t xml:space="preserve">COMPARATIF DES PRIX DES ARTICLES</t>
  </si>
  <si>
    <t xml:space="preserve">Notez le prix unitaire de chaque article à chaque campagne (colonnes C à F : les en-têtes jaunes sont modifiables), en € ou en FCFA — gardez la même monnaie sur toute la ligne. L'évolution compare automatiquement le premier prix saisi au dernier. La ligne 6 est un exemple en FCFA.</t>
  </si>
  <si>
    <t xml:space="preserve">Pâques 2026</t>
  </si>
  <si>
    <t xml:space="preserve">Rentrée 2026</t>
  </si>
  <si>
    <t xml:space="preserve">Noël 2026</t>
  </si>
  <si>
    <t xml:space="preserve">Évolution</t>
  </si>
  <si>
    <t xml:space="preserve">Notes</t>
  </si>
  <si>
    <t xml:space="preserve">DÉTAILS DES DONS PAR CAMPAGNE</t>
  </si>
  <si>
    <t xml:space="preserve">Une ligne par article donné : campagne, orphelinat bénéficiaire, article, quantité et valeur. Saisissez le prix unitaire en € OU en FCFA (une seule des deux colonnes) : les valeurs totales se calculent dans les deux monnaies. Les lignes 7 à 9 sont des exemples à remplacer.</t>
  </si>
  <si>
    <t xml:space="preserve">VALEUR TOTALE DES DONS (€)</t>
  </si>
  <si>
    <t xml:space="preserve">VALEUR TOTALE (FCFA)</t>
  </si>
  <si>
    <t xml:space="preserve">ARTICLES DONNÉS (QUANTITÉ)</t>
  </si>
  <si>
    <t xml:space="preserve">Campagne</t>
  </si>
  <si>
    <t xml:space="preserve">Date</t>
  </si>
  <si>
    <t xml:space="preserve">Bénéficiaire (orphelinat…)</t>
  </si>
  <si>
    <t xml:space="preserve">Article donné</t>
  </si>
  <si>
    <t xml:space="preserve">Valeur totale (€)</t>
  </si>
  <si>
    <t xml:space="preserve">Valeur totale (FCFA)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</si>
</sst>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/mm/yyyy"/>
    <numFmt numFmtId="166" formatCode="#,##0.000"/>
    <numFmt numFmtId="167" formatCode="#,##0.00&quot; €&quot;"/>
    <numFmt numFmtId="168" formatCode="#,##0&quot; FCFA&quot;"/>
    <numFmt numFmtId="169" formatCode="#,##0"/>
    <numFmt numFmtId="170" formatCode="0.0%"/>
    <numFmt numFmtId="171" formatCode="\+0.0%;\-0.0%"/>
    <numFmt numFmtId="172" formatCode="0"/>
    <numFmt numFmtId="173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8"/>
      <color rgb="FF555555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F3C7E"/>
        <bgColor rgb="FF003366"/>
      </patternFill>
    </fill>
    <fill>
      <patternFill patternType="solid">
        <fgColor rgb="FFFFF2CC"/>
        <bgColor rgb="FFFDEACC"/>
      </patternFill>
    </fill>
    <fill>
      <patternFill patternType="solid">
        <fgColor rgb="FFD1E7D1"/>
        <bgColor rgb="FFE8E8E8"/>
      </patternFill>
    </fill>
    <fill>
      <patternFill patternType="solid">
        <fgColor rgb="FFFDEACC"/>
        <bgColor rgb="FFFFF2CC"/>
      </patternFill>
    </fill>
    <fill>
      <patternFill patternType="solid">
        <fgColor rgb="FFE8E8E8"/>
        <bgColor rgb="FFD1E7D1"/>
      </patternFill>
    </fill>
    <fill>
      <patternFill patternType="solid">
        <fgColor rgb="FF45B84B"/>
        <bgColor rgb="FF33CCCC"/>
      </patternFill>
    </fill>
    <fill>
      <patternFill patternType="solid">
        <fgColor rgb="FF6B7280"/>
        <bgColor rgb="FF808080"/>
      </patternFill>
    </fill>
    <fill>
      <patternFill patternType="solid">
        <fgColor rgb="FFF9931D"/>
        <bgColor rgb="FFFF8080"/>
      </patternFill>
    </fill>
    <fill>
      <patternFill patternType="solid">
        <fgColor rgb="FF94268F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5D5D5"/>
        </patternFill>
      </fill>
    </dxf>
    <dxf>
      <fill>
        <patternFill>
          <bgColor rgb="FFD1E7D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4268F"/>
      <rgbColor rgb="FFFFF2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7D1"/>
      <rgbColor rgb="FFFDEACC"/>
      <rgbColor rgb="FF99CCFF"/>
      <rgbColor rgb="FFFF99CC"/>
      <rgbColor rgb="FFCC99FF"/>
      <rgbColor rgb="FFF5D5D5"/>
      <rgbColor rgb="FF3366FF"/>
      <rgbColor rgb="FF33CCCC"/>
      <rgbColor rgb="FF99CC00"/>
      <rgbColor rgb="FFFFCC00"/>
      <rgbColor rgb="FFF9931D"/>
      <rgbColor rgb="FFFF6600"/>
      <rgbColor rgb="FF6B7280"/>
      <rgbColor rgb="FF999999"/>
      <rgbColor rgb="FF003366"/>
      <rgbColor rgb="FF45B84B"/>
      <rgbColor rgb="FF003300"/>
      <rgbColor rgb="FF555555"/>
      <rgbColor rgb="FF993300"/>
      <rgbColor rgb="FF993366"/>
      <rgbColor rgb="FF2F3C7E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2</v>
      </c>
      <c r="B3" s="4" t="s">
        <v>3</v>
      </c>
      <c r="C3" s="4"/>
      <c r="D3" s="3" t="s">
        <v>4</v>
      </c>
      <c r="E3" s="5" t="n">
        <v>45996</v>
      </c>
    </row>
    <row r="4" customFormat="false" ht="15" hidden="false" customHeight="false" outlineLevel="0" collapsed="false">
      <c r="A4" s="3" t="s">
        <v>5</v>
      </c>
      <c r="B4" s="4" t="s">
        <v>6</v>
      </c>
      <c r="C4" s="4"/>
      <c r="F4" s="6" t="s">
        <v>7</v>
      </c>
      <c r="G4" s="7" t="n">
        <v>655.957</v>
      </c>
    </row>
    <row r="6" customFormat="false" ht="15" hidden="false" customHeight="false" outlineLevel="0" collapsed="false">
      <c r="A6" s="8" t="s">
        <v>8</v>
      </c>
      <c r="B6" s="8"/>
      <c r="C6" s="8" t="s">
        <v>9</v>
      </c>
      <c r="D6" s="8"/>
      <c r="E6" s="8" t="s">
        <v>10</v>
      </c>
      <c r="F6" s="8"/>
    </row>
    <row r="7" customFormat="false" ht="21.75" hidden="false" customHeight="true" outlineLevel="0" collapsed="false">
      <c r="A7" s="9" t="n">
        <f aca="false">SUM(H9:H48)</f>
        <v>182.938820684892</v>
      </c>
      <c r="B7" s="9"/>
      <c r="C7" s="10" t="n">
        <f aca="false">SUM(I9:I48)</f>
        <v>120000</v>
      </c>
      <c r="D7" s="10"/>
      <c r="E7" s="11" t="n">
        <f aca="false">COUNTA(A9:A48)</f>
        <v>8</v>
      </c>
      <c r="F7" s="11"/>
    </row>
    <row r="8" customFormat="false" ht="27.75" hidden="false" customHeight="true" outlineLevel="0" collapsed="false">
      <c r="A8" s="12" t="s">
        <v>11</v>
      </c>
      <c r="B8" s="12" t="s">
        <v>12</v>
      </c>
      <c r="C8" s="12" t="s">
        <v>13</v>
      </c>
      <c r="D8" s="12" t="s">
        <v>14</v>
      </c>
      <c r="E8" s="12" t="s">
        <v>15</v>
      </c>
      <c r="F8" s="12" t="s">
        <v>16</v>
      </c>
      <c r="G8" s="12" t="s">
        <v>17</v>
      </c>
      <c r="H8" s="12" t="s">
        <v>18</v>
      </c>
      <c r="I8" s="12" t="s">
        <v>19</v>
      </c>
    </row>
    <row r="9" customFormat="false" ht="15" hidden="false" customHeight="false" outlineLevel="0" collapsed="false">
      <c r="A9" s="4" t="s">
        <v>20</v>
      </c>
      <c r="B9" s="13" t="s">
        <v>21</v>
      </c>
      <c r="C9" s="14" t="n">
        <v>10</v>
      </c>
      <c r="D9" s="15"/>
      <c r="E9" s="16" t="n">
        <v>12000</v>
      </c>
      <c r="F9" s="17" t="n">
        <f aca="false">IF(AND(D9="",E9=""),"",IF(D9&lt;&gt;"",D9,E9/'Budget du don'!$G$4))</f>
        <v>18.2938820684892</v>
      </c>
      <c r="G9" s="18" t="n">
        <f aca="false">IF(F9="","",F9*'Budget du don'!$G$4)</f>
        <v>12000</v>
      </c>
      <c r="H9" s="19" t="n">
        <f aca="false">IF(OR(A9="",C9="",F9=""),"",C9*F9)</f>
        <v>182.938820684892</v>
      </c>
      <c r="I9" s="18" t="n">
        <f aca="false">IF(H9="","",H9*'Budget du don'!$G$4)</f>
        <v>120000</v>
      </c>
    </row>
    <row r="10" customFormat="false" ht="15" hidden="false" customHeight="false" outlineLevel="0" collapsed="false">
      <c r="A10" s="4" t="s">
        <v>22</v>
      </c>
      <c r="B10" s="13" t="s">
        <v>23</v>
      </c>
      <c r="C10" s="14"/>
      <c r="D10" s="15"/>
      <c r="E10" s="16"/>
      <c r="F10" s="17" t="str">
        <f aca="false">IF(AND(D10="",E10=""),"",IF(D10&lt;&gt;"",D10,E10/'Budget du don'!$G$4))</f>
        <v/>
      </c>
      <c r="G10" s="18" t="str">
        <f aca="false">IF(F10="","",F10*'Budget du don'!$G$4)</f>
        <v/>
      </c>
      <c r="H10" s="19" t="str">
        <f aca="false">IF(OR(A10="",C10="",F10=""),"",C10*F10)</f>
        <v/>
      </c>
      <c r="I10" s="18" t="str">
        <f aca="false">IF(H10="","",H10*'Budget du don'!$G$4)</f>
        <v/>
      </c>
    </row>
    <row r="11" customFormat="false" ht="15" hidden="false" customHeight="false" outlineLevel="0" collapsed="false">
      <c r="A11" s="4" t="s">
        <v>24</v>
      </c>
      <c r="B11" s="13" t="s">
        <v>23</v>
      </c>
      <c r="C11" s="14"/>
      <c r="D11" s="15"/>
      <c r="E11" s="16"/>
      <c r="F11" s="17" t="str">
        <f aca="false">IF(AND(D11="",E11=""),"",IF(D11&lt;&gt;"",D11,E11/'Budget du don'!$G$4))</f>
        <v/>
      </c>
      <c r="G11" s="18" t="str">
        <f aca="false">IF(F11="","",F11*'Budget du don'!$G$4)</f>
        <v/>
      </c>
      <c r="H11" s="19" t="str">
        <f aca="false">IF(OR(A11="",C11="",F11=""),"",C11*F11)</f>
        <v/>
      </c>
      <c r="I11" s="18" t="str">
        <f aca="false">IF(H11="","",H11*'Budget du don'!$G$4)</f>
        <v/>
      </c>
    </row>
    <row r="12" customFormat="false" ht="15" hidden="false" customHeight="false" outlineLevel="0" collapsed="false">
      <c r="A12" s="4" t="s">
        <v>25</v>
      </c>
      <c r="B12" s="13" t="s">
        <v>23</v>
      </c>
      <c r="C12" s="14"/>
      <c r="D12" s="15"/>
      <c r="E12" s="16"/>
      <c r="F12" s="17" t="str">
        <f aca="false">IF(AND(D12="",E12=""),"",IF(D12&lt;&gt;"",D12,E12/'Budget du don'!$G$4))</f>
        <v/>
      </c>
      <c r="G12" s="18" t="str">
        <f aca="false">IF(F12="","",F12*'Budget du don'!$G$4)</f>
        <v/>
      </c>
      <c r="H12" s="19" t="str">
        <f aca="false">IF(OR(A12="",C12="",F12=""),"",C12*F12)</f>
        <v/>
      </c>
      <c r="I12" s="18" t="str">
        <f aca="false">IF(H12="","",H12*'Budget du don'!$G$4)</f>
        <v/>
      </c>
    </row>
    <row r="13" customFormat="false" ht="15" hidden="false" customHeight="false" outlineLevel="0" collapsed="false">
      <c r="A13" s="4" t="s">
        <v>26</v>
      </c>
      <c r="B13" s="13" t="s">
        <v>27</v>
      </c>
      <c r="C13" s="14"/>
      <c r="D13" s="15"/>
      <c r="E13" s="16"/>
      <c r="F13" s="17" t="str">
        <f aca="false">IF(AND(D13="",E13=""),"",IF(D13&lt;&gt;"",D13,E13/'Budget du don'!$G$4))</f>
        <v/>
      </c>
      <c r="G13" s="18" t="str">
        <f aca="false">IF(F13="","",F13*'Budget du don'!$G$4)</f>
        <v/>
      </c>
      <c r="H13" s="19" t="str">
        <f aca="false">IF(OR(A13="",C13="",F13=""),"",C13*F13)</f>
        <v/>
      </c>
      <c r="I13" s="18" t="str">
        <f aca="false">IF(H13="","",H13*'Budget du don'!$G$4)</f>
        <v/>
      </c>
    </row>
    <row r="14" customFormat="false" ht="15" hidden="false" customHeight="false" outlineLevel="0" collapsed="false">
      <c r="A14" s="4" t="s">
        <v>28</v>
      </c>
      <c r="B14" s="13" t="s">
        <v>29</v>
      </c>
      <c r="C14" s="14"/>
      <c r="D14" s="15"/>
      <c r="E14" s="16"/>
      <c r="F14" s="17" t="str">
        <f aca="false">IF(AND(D14="",E14=""),"",IF(D14&lt;&gt;"",D14,E14/'Budget du don'!$G$4))</f>
        <v/>
      </c>
      <c r="G14" s="18" t="str">
        <f aca="false">IF(F14="","",F14*'Budget du don'!$G$4)</f>
        <v/>
      </c>
      <c r="H14" s="19" t="str">
        <f aca="false">IF(OR(A14="",C14="",F14=""),"",C14*F14)</f>
        <v/>
      </c>
      <c r="I14" s="18" t="str">
        <f aca="false">IF(H14="","",H14*'Budget du don'!$G$4)</f>
        <v/>
      </c>
    </row>
    <row r="15" customFormat="false" ht="15" hidden="false" customHeight="false" outlineLevel="0" collapsed="false">
      <c r="A15" s="4" t="s">
        <v>30</v>
      </c>
      <c r="B15" s="13" t="s">
        <v>23</v>
      </c>
      <c r="C15" s="14"/>
      <c r="D15" s="15"/>
      <c r="E15" s="16"/>
      <c r="F15" s="17" t="str">
        <f aca="false">IF(AND(D15="",E15=""),"",IF(D15&lt;&gt;"",D15,E15/'Budget du don'!$G$4))</f>
        <v/>
      </c>
      <c r="G15" s="18" t="str">
        <f aca="false">IF(F15="","",F15*'Budget du don'!$G$4)</f>
        <v/>
      </c>
      <c r="H15" s="19" t="str">
        <f aca="false">IF(OR(A15="",C15="",F15=""),"",C15*F15)</f>
        <v/>
      </c>
      <c r="I15" s="18" t="str">
        <f aca="false">IF(H15="","",H15*'Budget du don'!$G$4)</f>
        <v/>
      </c>
    </row>
    <row r="16" customFormat="false" ht="15" hidden="false" customHeight="false" outlineLevel="0" collapsed="false">
      <c r="A16" s="4" t="s">
        <v>31</v>
      </c>
      <c r="B16" s="13" t="s">
        <v>32</v>
      </c>
      <c r="C16" s="14"/>
      <c r="D16" s="15"/>
      <c r="E16" s="16"/>
      <c r="F16" s="17" t="str">
        <f aca="false">IF(AND(D16="",E16=""),"",IF(D16&lt;&gt;"",D16,E16/'Budget du don'!$G$4))</f>
        <v/>
      </c>
      <c r="G16" s="18" t="str">
        <f aca="false">IF(F16="","",F16*'Budget du don'!$G$4)</f>
        <v/>
      </c>
      <c r="H16" s="19" t="str">
        <f aca="false">IF(OR(A16="",C16="",F16=""),"",C16*F16)</f>
        <v/>
      </c>
      <c r="I16" s="18" t="str">
        <f aca="false">IF(H16="","",H16*'Budget du don'!$G$4)</f>
        <v/>
      </c>
    </row>
    <row r="17" customFormat="false" ht="15" hidden="false" customHeight="false" outlineLevel="0" collapsed="false">
      <c r="A17" s="4"/>
      <c r="B17" s="13"/>
      <c r="C17" s="14"/>
      <c r="D17" s="15"/>
      <c r="E17" s="16"/>
      <c r="F17" s="17" t="str">
        <f aca="false">IF(AND(D17="",E17=""),"",IF(D17&lt;&gt;"",D17,E17/'Budget du don'!$G$4))</f>
        <v/>
      </c>
      <c r="G17" s="18" t="str">
        <f aca="false">IF(F17="","",F17*'Budget du don'!$G$4)</f>
        <v/>
      </c>
      <c r="H17" s="19" t="str">
        <f aca="false">IF(OR(A17="",C17="",F17=""),"",C17*F17)</f>
        <v/>
      </c>
      <c r="I17" s="18" t="str">
        <f aca="false">IF(H17="","",H17*'Budget du don'!$G$4)</f>
        <v/>
      </c>
    </row>
    <row r="18" customFormat="false" ht="15" hidden="false" customHeight="false" outlineLevel="0" collapsed="false">
      <c r="A18" s="4"/>
      <c r="B18" s="13"/>
      <c r="C18" s="14"/>
      <c r="D18" s="15"/>
      <c r="E18" s="16"/>
      <c r="F18" s="17" t="str">
        <f aca="false">IF(AND(D18="",E18=""),"",IF(D18&lt;&gt;"",D18,E18/'Budget du don'!$G$4))</f>
        <v/>
      </c>
      <c r="G18" s="18" t="str">
        <f aca="false">IF(F18="","",F18*'Budget du don'!$G$4)</f>
        <v/>
      </c>
      <c r="H18" s="19" t="str">
        <f aca="false">IF(OR(A18="",C18="",F18=""),"",C18*F18)</f>
        <v/>
      </c>
      <c r="I18" s="18" t="str">
        <f aca="false">IF(H18="","",H18*'Budget du don'!$G$4)</f>
        <v/>
      </c>
    </row>
    <row r="19" customFormat="false" ht="15" hidden="false" customHeight="false" outlineLevel="0" collapsed="false">
      <c r="A19" s="4"/>
      <c r="B19" s="13"/>
      <c r="C19" s="14"/>
      <c r="D19" s="15"/>
      <c r="E19" s="16"/>
      <c r="F19" s="17" t="str">
        <f aca="false">IF(AND(D19="",E19=""),"",IF(D19&lt;&gt;"",D19,E19/'Budget du don'!$G$4))</f>
        <v/>
      </c>
      <c r="G19" s="18" t="str">
        <f aca="false">IF(F19="","",F19*'Budget du don'!$G$4)</f>
        <v/>
      </c>
      <c r="H19" s="19" t="str">
        <f aca="false">IF(OR(A19="",C19="",F19=""),"",C19*F19)</f>
        <v/>
      </c>
      <c r="I19" s="18" t="str">
        <f aca="false">IF(H19="","",H19*'Budget du don'!$G$4)</f>
        <v/>
      </c>
    </row>
    <row r="20" customFormat="false" ht="15" hidden="false" customHeight="false" outlineLevel="0" collapsed="false">
      <c r="A20" s="4"/>
      <c r="B20" s="13"/>
      <c r="C20" s="14"/>
      <c r="D20" s="15"/>
      <c r="E20" s="16"/>
      <c r="F20" s="17" t="str">
        <f aca="false">IF(AND(D20="",E20=""),"",IF(D20&lt;&gt;"",D20,E20/'Budget du don'!$G$4))</f>
        <v/>
      </c>
      <c r="G20" s="18" t="str">
        <f aca="false">IF(F20="","",F20*'Budget du don'!$G$4)</f>
        <v/>
      </c>
      <c r="H20" s="19" t="str">
        <f aca="false">IF(OR(A20="",C20="",F20=""),"",C20*F20)</f>
        <v/>
      </c>
      <c r="I20" s="18" t="str">
        <f aca="false">IF(H20="","",H20*'Budget du don'!$G$4)</f>
        <v/>
      </c>
    </row>
    <row r="21" customFormat="false" ht="15" hidden="false" customHeight="false" outlineLevel="0" collapsed="false">
      <c r="A21" s="4"/>
      <c r="B21" s="13"/>
      <c r="C21" s="14"/>
      <c r="D21" s="15"/>
      <c r="E21" s="16"/>
      <c r="F21" s="17" t="str">
        <f aca="false">IF(AND(D21="",E21=""),"",IF(D21&lt;&gt;"",D21,E21/'Budget du don'!$G$4))</f>
        <v/>
      </c>
      <c r="G21" s="18" t="str">
        <f aca="false">IF(F21="","",F21*'Budget du don'!$G$4)</f>
        <v/>
      </c>
      <c r="H21" s="19" t="str">
        <f aca="false">IF(OR(A21="",C21="",F21=""),"",C21*F21)</f>
        <v/>
      </c>
      <c r="I21" s="18" t="str">
        <f aca="false">IF(H21="","",H21*'Budget du don'!$G$4)</f>
        <v/>
      </c>
    </row>
    <row r="22" customFormat="false" ht="15" hidden="false" customHeight="false" outlineLevel="0" collapsed="false">
      <c r="A22" s="4"/>
      <c r="B22" s="13"/>
      <c r="C22" s="14"/>
      <c r="D22" s="15"/>
      <c r="E22" s="16"/>
      <c r="F22" s="17" t="str">
        <f aca="false">IF(AND(D22="",E22=""),"",IF(D22&lt;&gt;"",D22,E22/'Budget du don'!$G$4))</f>
        <v/>
      </c>
      <c r="G22" s="18" t="str">
        <f aca="false">IF(F22="","",F22*'Budget du don'!$G$4)</f>
        <v/>
      </c>
      <c r="H22" s="19" t="str">
        <f aca="false">IF(OR(A22="",C22="",F22=""),"",C22*F22)</f>
        <v/>
      </c>
      <c r="I22" s="18" t="str">
        <f aca="false">IF(H22="","",H22*'Budget du don'!$G$4)</f>
        <v/>
      </c>
    </row>
    <row r="23" customFormat="false" ht="15" hidden="false" customHeight="false" outlineLevel="0" collapsed="false">
      <c r="A23" s="4"/>
      <c r="B23" s="13"/>
      <c r="C23" s="14"/>
      <c r="D23" s="15"/>
      <c r="E23" s="16"/>
      <c r="F23" s="17" t="str">
        <f aca="false">IF(AND(D23="",E23=""),"",IF(D23&lt;&gt;"",D23,E23/'Budget du don'!$G$4))</f>
        <v/>
      </c>
      <c r="G23" s="18" t="str">
        <f aca="false">IF(F23="","",F23*'Budget du don'!$G$4)</f>
        <v/>
      </c>
      <c r="H23" s="19" t="str">
        <f aca="false">IF(OR(A23="",C23="",F23=""),"",C23*F23)</f>
        <v/>
      </c>
      <c r="I23" s="18" t="str">
        <f aca="false">IF(H23="","",H23*'Budget du don'!$G$4)</f>
        <v/>
      </c>
    </row>
    <row r="24" customFormat="false" ht="15" hidden="false" customHeight="false" outlineLevel="0" collapsed="false">
      <c r="A24" s="4"/>
      <c r="B24" s="13"/>
      <c r="C24" s="14"/>
      <c r="D24" s="15"/>
      <c r="E24" s="16"/>
      <c r="F24" s="17" t="str">
        <f aca="false">IF(AND(D24="",E24=""),"",IF(D24&lt;&gt;"",D24,E24/'Budget du don'!$G$4))</f>
        <v/>
      </c>
      <c r="G24" s="18" t="str">
        <f aca="false">IF(F24="","",F24*'Budget du don'!$G$4)</f>
        <v/>
      </c>
      <c r="H24" s="19" t="str">
        <f aca="false">IF(OR(A24="",C24="",F24=""),"",C24*F24)</f>
        <v/>
      </c>
      <c r="I24" s="18" t="str">
        <f aca="false">IF(H24="","",H24*'Budget du don'!$G$4)</f>
        <v/>
      </c>
    </row>
    <row r="25" customFormat="false" ht="15" hidden="false" customHeight="false" outlineLevel="0" collapsed="false">
      <c r="A25" s="4"/>
      <c r="B25" s="13"/>
      <c r="C25" s="14"/>
      <c r="D25" s="15"/>
      <c r="E25" s="16"/>
      <c r="F25" s="17" t="str">
        <f aca="false">IF(AND(D25="",E25=""),"",IF(D25&lt;&gt;"",D25,E25/'Budget du don'!$G$4))</f>
        <v/>
      </c>
      <c r="G25" s="18" t="str">
        <f aca="false">IF(F25="","",F25*'Budget du don'!$G$4)</f>
        <v/>
      </c>
      <c r="H25" s="19" t="str">
        <f aca="false">IF(OR(A25="",C25="",F25=""),"",C25*F25)</f>
        <v/>
      </c>
      <c r="I25" s="18" t="str">
        <f aca="false">IF(H25="","",H25*'Budget du don'!$G$4)</f>
        <v/>
      </c>
    </row>
    <row r="26" customFormat="false" ht="15" hidden="false" customHeight="false" outlineLevel="0" collapsed="false">
      <c r="A26" s="4"/>
      <c r="B26" s="13"/>
      <c r="C26" s="14"/>
      <c r="D26" s="15"/>
      <c r="E26" s="16"/>
      <c r="F26" s="17" t="str">
        <f aca="false">IF(AND(D26="",E26=""),"",IF(D26&lt;&gt;"",D26,E26/'Budget du don'!$G$4))</f>
        <v/>
      </c>
      <c r="G26" s="18" t="str">
        <f aca="false">IF(F26="","",F26*'Budget du don'!$G$4)</f>
        <v/>
      </c>
      <c r="H26" s="19" t="str">
        <f aca="false">IF(OR(A26="",C26="",F26=""),"",C26*F26)</f>
        <v/>
      </c>
      <c r="I26" s="18" t="str">
        <f aca="false">IF(H26="","",H26*'Budget du don'!$G$4)</f>
        <v/>
      </c>
    </row>
    <row r="27" customFormat="false" ht="15" hidden="false" customHeight="false" outlineLevel="0" collapsed="false">
      <c r="A27" s="4"/>
      <c r="B27" s="13"/>
      <c r="C27" s="14"/>
      <c r="D27" s="15"/>
      <c r="E27" s="16"/>
      <c r="F27" s="17" t="str">
        <f aca="false">IF(AND(D27="",E27=""),"",IF(D27&lt;&gt;"",D27,E27/'Budget du don'!$G$4))</f>
        <v/>
      </c>
      <c r="G27" s="18" t="str">
        <f aca="false">IF(F27="","",F27*'Budget du don'!$G$4)</f>
        <v/>
      </c>
      <c r="H27" s="19" t="str">
        <f aca="false">IF(OR(A27="",C27="",F27=""),"",C27*F27)</f>
        <v/>
      </c>
      <c r="I27" s="18" t="str">
        <f aca="false">IF(H27="","",H27*'Budget du don'!$G$4)</f>
        <v/>
      </c>
    </row>
    <row r="28" customFormat="false" ht="15" hidden="false" customHeight="false" outlineLevel="0" collapsed="false">
      <c r="A28" s="4"/>
      <c r="B28" s="13"/>
      <c r="C28" s="14"/>
      <c r="D28" s="15"/>
      <c r="E28" s="16"/>
      <c r="F28" s="17" t="str">
        <f aca="false">IF(AND(D28="",E28=""),"",IF(D28&lt;&gt;"",D28,E28/'Budget du don'!$G$4))</f>
        <v/>
      </c>
      <c r="G28" s="18" t="str">
        <f aca="false">IF(F28="","",F28*'Budget du don'!$G$4)</f>
        <v/>
      </c>
      <c r="H28" s="19" t="str">
        <f aca="false">IF(OR(A28="",C28="",F28=""),"",C28*F28)</f>
        <v/>
      </c>
      <c r="I28" s="18" t="str">
        <f aca="false">IF(H28="","",H28*'Budget du don'!$G$4)</f>
        <v/>
      </c>
    </row>
    <row r="29" customFormat="false" ht="15" hidden="false" customHeight="false" outlineLevel="0" collapsed="false">
      <c r="A29" s="4"/>
      <c r="B29" s="13"/>
      <c r="C29" s="14"/>
      <c r="D29" s="15"/>
      <c r="E29" s="16"/>
      <c r="F29" s="17" t="str">
        <f aca="false">IF(AND(D29="",E29=""),"",IF(D29&lt;&gt;"",D29,E29/'Budget du don'!$G$4))</f>
        <v/>
      </c>
      <c r="G29" s="18" t="str">
        <f aca="false">IF(F29="","",F29*'Budget du don'!$G$4)</f>
        <v/>
      </c>
      <c r="H29" s="19" t="str">
        <f aca="false">IF(OR(A29="",C29="",F29=""),"",C29*F29)</f>
        <v/>
      </c>
      <c r="I29" s="18" t="str">
        <f aca="false">IF(H29="","",H29*'Budget du don'!$G$4)</f>
        <v/>
      </c>
    </row>
    <row r="30" customFormat="false" ht="15" hidden="false" customHeight="false" outlineLevel="0" collapsed="false">
      <c r="A30" s="4"/>
      <c r="B30" s="13"/>
      <c r="C30" s="14"/>
      <c r="D30" s="15"/>
      <c r="E30" s="16"/>
      <c r="F30" s="17" t="str">
        <f aca="false">IF(AND(D30="",E30=""),"",IF(D30&lt;&gt;"",D30,E30/'Budget du don'!$G$4))</f>
        <v/>
      </c>
      <c r="G30" s="18" t="str">
        <f aca="false">IF(F30="","",F30*'Budget du don'!$G$4)</f>
        <v/>
      </c>
      <c r="H30" s="19" t="str">
        <f aca="false">IF(OR(A30="",C30="",F30=""),"",C30*F30)</f>
        <v/>
      </c>
      <c r="I30" s="18" t="str">
        <f aca="false">IF(H30="","",H30*'Budget du don'!$G$4)</f>
        <v/>
      </c>
    </row>
    <row r="31" customFormat="false" ht="15" hidden="false" customHeight="false" outlineLevel="0" collapsed="false">
      <c r="A31" s="4"/>
      <c r="B31" s="13"/>
      <c r="C31" s="14"/>
      <c r="D31" s="15"/>
      <c r="E31" s="16"/>
      <c r="F31" s="17" t="str">
        <f aca="false">IF(AND(D31="",E31=""),"",IF(D31&lt;&gt;"",D31,E31/'Budget du don'!$G$4))</f>
        <v/>
      </c>
      <c r="G31" s="18" t="str">
        <f aca="false">IF(F31="","",F31*'Budget du don'!$G$4)</f>
        <v/>
      </c>
      <c r="H31" s="19" t="str">
        <f aca="false">IF(OR(A31="",C31="",F31=""),"",C31*F31)</f>
        <v/>
      </c>
      <c r="I31" s="18" t="str">
        <f aca="false">IF(H31="","",H31*'Budget du don'!$G$4)</f>
        <v/>
      </c>
    </row>
    <row r="32" customFormat="false" ht="15" hidden="false" customHeight="false" outlineLevel="0" collapsed="false">
      <c r="A32" s="4"/>
      <c r="B32" s="13"/>
      <c r="C32" s="14"/>
      <c r="D32" s="15"/>
      <c r="E32" s="16"/>
      <c r="F32" s="17" t="str">
        <f aca="false">IF(AND(D32="",E32=""),"",IF(D32&lt;&gt;"",D32,E32/'Budget du don'!$G$4))</f>
        <v/>
      </c>
      <c r="G32" s="18" t="str">
        <f aca="false">IF(F32="","",F32*'Budget du don'!$G$4)</f>
        <v/>
      </c>
      <c r="H32" s="19" t="str">
        <f aca="false">IF(OR(A32="",C32="",F32=""),"",C32*F32)</f>
        <v/>
      </c>
      <c r="I32" s="18" t="str">
        <f aca="false">IF(H32="","",H32*'Budget du don'!$G$4)</f>
        <v/>
      </c>
    </row>
    <row r="33" customFormat="false" ht="15" hidden="false" customHeight="false" outlineLevel="0" collapsed="false">
      <c r="A33" s="4"/>
      <c r="B33" s="13"/>
      <c r="C33" s="14"/>
      <c r="D33" s="15"/>
      <c r="E33" s="16"/>
      <c r="F33" s="17" t="str">
        <f aca="false">IF(AND(D33="",E33=""),"",IF(D33&lt;&gt;"",D33,E33/'Budget du don'!$G$4))</f>
        <v/>
      </c>
      <c r="G33" s="18" t="str">
        <f aca="false">IF(F33="","",F33*'Budget du don'!$G$4)</f>
        <v/>
      </c>
      <c r="H33" s="19" t="str">
        <f aca="false">IF(OR(A33="",C33="",F33=""),"",C33*F33)</f>
        <v/>
      </c>
      <c r="I33" s="18" t="str">
        <f aca="false">IF(H33="","",H33*'Budget du don'!$G$4)</f>
        <v/>
      </c>
    </row>
    <row r="34" customFormat="false" ht="15" hidden="false" customHeight="false" outlineLevel="0" collapsed="false">
      <c r="A34" s="4"/>
      <c r="B34" s="13"/>
      <c r="C34" s="14"/>
      <c r="D34" s="15"/>
      <c r="E34" s="16"/>
      <c r="F34" s="17" t="str">
        <f aca="false">IF(AND(D34="",E34=""),"",IF(D34&lt;&gt;"",D34,E34/'Budget du don'!$G$4))</f>
        <v/>
      </c>
      <c r="G34" s="18" t="str">
        <f aca="false">IF(F34="","",F34*'Budget du don'!$G$4)</f>
        <v/>
      </c>
      <c r="H34" s="19" t="str">
        <f aca="false">IF(OR(A34="",C34="",F34=""),"",C34*F34)</f>
        <v/>
      </c>
      <c r="I34" s="18" t="str">
        <f aca="false">IF(H34="","",H34*'Budget du don'!$G$4)</f>
        <v/>
      </c>
    </row>
    <row r="35" customFormat="false" ht="15" hidden="false" customHeight="false" outlineLevel="0" collapsed="false">
      <c r="A35" s="4"/>
      <c r="B35" s="13"/>
      <c r="C35" s="14"/>
      <c r="D35" s="15"/>
      <c r="E35" s="16"/>
      <c r="F35" s="17" t="str">
        <f aca="false">IF(AND(D35="",E35=""),"",IF(D35&lt;&gt;"",D35,E35/'Budget du don'!$G$4))</f>
        <v/>
      </c>
      <c r="G35" s="18" t="str">
        <f aca="false">IF(F35="","",F35*'Budget du don'!$G$4)</f>
        <v/>
      </c>
      <c r="H35" s="19" t="str">
        <f aca="false">IF(OR(A35="",C35="",F35=""),"",C35*F35)</f>
        <v/>
      </c>
      <c r="I35" s="18" t="str">
        <f aca="false">IF(H35="","",H35*'Budget du don'!$G$4)</f>
        <v/>
      </c>
    </row>
    <row r="36" customFormat="false" ht="15" hidden="false" customHeight="false" outlineLevel="0" collapsed="false">
      <c r="A36" s="4"/>
      <c r="B36" s="13"/>
      <c r="C36" s="14"/>
      <c r="D36" s="15"/>
      <c r="E36" s="16"/>
      <c r="F36" s="17" t="str">
        <f aca="false">IF(AND(D36="",E36=""),"",IF(D36&lt;&gt;"",D36,E36/'Budget du don'!$G$4))</f>
        <v/>
      </c>
      <c r="G36" s="18" t="str">
        <f aca="false">IF(F36="","",F36*'Budget du don'!$G$4)</f>
        <v/>
      </c>
      <c r="H36" s="19" t="str">
        <f aca="false">IF(OR(A36="",C36="",F36=""),"",C36*F36)</f>
        <v/>
      </c>
      <c r="I36" s="18" t="str">
        <f aca="false">IF(H36="","",H36*'Budget du don'!$G$4)</f>
        <v/>
      </c>
    </row>
    <row r="37" customFormat="false" ht="15" hidden="false" customHeight="false" outlineLevel="0" collapsed="false">
      <c r="A37" s="4"/>
      <c r="B37" s="13"/>
      <c r="C37" s="14"/>
      <c r="D37" s="15"/>
      <c r="E37" s="16"/>
      <c r="F37" s="17" t="str">
        <f aca="false">IF(AND(D37="",E37=""),"",IF(D37&lt;&gt;"",D37,E37/'Budget du don'!$G$4))</f>
        <v/>
      </c>
      <c r="G37" s="18" t="str">
        <f aca="false">IF(F37="","",F37*'Budget du don'!$G$4)</f>
        <v/>
      </c>
      <c r="H37" s="19" t="str">
        <f aca="false">IF(OR(A37="",C37="",F37=""),"",C37*F37)</f>
        <v/>
      </c>
      <c r="I37" s="18" t="str">
        <f aca="false">IF(H37="","",H37*'Budget du don'!$G$4)</f>
        <v/>
      </c>
    </row>
    <row r="38" customFormat="false" ht="15" hidden="false" customHeight="false" outlineLevel="0" collapsed="false">
      <c r="A38" s="4"/>
      <c r="B38" s="13"/>
      <c r="C38" s="14"/>
      <c r="D38" s="15"/>
      <c r="E38" s="16"/>
      <c r="F38" s="17" t="str">
        <f aca="false">IF(AND(D38="",E38=""),"",IF(D38&lt;&gt;"",D38,E38/'Budget du don'!$G$4))</f>
        <v/>
      </c>
      <c r="G38" s="18" t="str">
        <f aca="false">IF(F38="","",F38*'Budget du don'!$G$4)</f>
        <v/>
      </c>
      <c r="H38" s="19" t="str">
        <f aca="false">IF(OR(A38="",C38="",F38=""),"",C38*F38)</f>
        <v/>
      </c>
      <c r="I38" s="18" t="str">
        <f aca="false">IF(H38="","",H38*'Budget du don'!$G$4)</f>
        <v/>
      </c>
    </row>
    <row r="39" customFormat="false" ht="15" hidden="false" customHeight="false" outlineLevel="0" collapsed="false">
      <c r="A39" s="4"/>
      <c r="B39" s="13"/>
      <c r="C39" s="14"/>
      <c r="D39" s="15"/>
      <c r="E39" s="16"/>
      <c r="F39" s="17" t="str">
        <f aca="false">IF(AND(D39="",E39=""),"",IF(D39&lt;&gt;"",D39,E39/'Budget du don'!$G$4))</f>
        <v/>
      </c>
      <c r="G39" s="18" t="str">
        <f aca="false">IF(F39="","",F39*'Budget du don'!$G$4)</f>
        <v/>
      </c>
      <c r="H39" s="19" t="str">
        <f aca="false">IF(OR(A39="",C39="",F39=""),"",C39*F39)</f>
        <v/>
      </c>
      <c r="I39" s="18" t="str">
        <f aca="false">IF(H39="","",H39*'Budget du don'!$G$4)</f>
        <v/>
      </c>
    </row>
    <row r="40" customFormat="false" ht="15" hidden="false" customHeight="false" outlineLevel="0" collapsed="false">
      <c r="A40" s="4"/>
      <c r="B40" s="13"/>
      <c r="C40" s="14"/>
      <c r="D40" s="15"/>
      <c r="E40" s="16"/>
      <c r="F40" s="17" t="str">
        <f aca="false">IF(AND(D40="",E40=""),"",IF(D40&lt;&gt;"",D40,E40/'Budget du don'!$G$4))</f>
        <v/>
      </c>
      <c r="G40" s="18" t="str">
        <f aca="false">IF(F40="","",F40*'Budget du don'!$G$4)</f>
        <v/>
      </c>
      <c r="H40" s="19" t="str">
        <f aca="false">IF(OR(A40="",C40="",F40=""),"",C40*F40)</f>
        <v/>
      </c>
      <c r="I40" s="18" t="str">
        <f aca="false">IF(H40="","",H40*'Budget du don'!$G$4)</f>
        <v/>
      </c>
    </row>
    <row r="41" customFormat="false" ht="15" hidden="false" customHeight="false" outlineLevel="0" collapsed="false">
      <c r="A41" s="4"/>
      <c r="B41" s="13"/>
      <c r="C41" s="14"/>
      <c r="D41" s="15"/>
      <c r="E41" s="16"/>
      <c r="F41" s="17" t="str">
        <f aca="false">IF(AND(D41="",E41=""),"",IF(D41&lt;&gt;"",D41,E41/'Budget du don'!$G$4))</f>
        <v/>
      </c>
      <c r="G41" s="18" t="str">
        <f aca="false">IF(F41="","",F41*'Budget du don'!$G$4)</f>
        <v/>
      </c>
      <c r="H41" s="19" t="str">
        <f aca="false">IF(OR(A41="",C41="",F41=""),"",C41*F41)</f>
        <v/>
      </c>
      <c r="I41" s="18" t="str">
        <f aca="false">IF(H41="","",H41*'Budget du don'!$G$4)</f>
        <v/>
      </c>
    </row>
    <row r="42" customFormat="false" ht="15" hidden="false" customHeight="false" outlineLevel="0" collapsed="false">
      <c r="A42" s="4"/>
      <c r="B42" s="13"/>
      <c r="C42" s="14"/>
      <c r="D42" s="15"/>
      <c r="E42" s="16"/>
      <c r="F42" s="17" t="str">
        <f aca="false">IF(AND(D42="",E42=""),"",IF(D42&lt;&gt;"",D42,E42/'Budget du don'!$G$4))</f>
        <v/>
      </c>
      <c r="G42" s="18" t="str">
        <f aca="false">IF(F42="","",F42*'Budget du don'!$G$4)</f>
        <v/>
      </c>
      <c r="H42" s="19" t="str">
        <f aca="false">IF(OR(A42="",C42="",F42=""),"",C42*F42)</f>
        <v/>
      </c>
      <c r="I42" s="18" t="str">
        <f aca="false">IF(H42="","",H42*'Budget du don'!$G$4)</f>
        <v/>
      </c>
    </row>
    <row r="43" customFormat="false" ht="15" hidden="false" customHeight="false" outlineLevel="0" collapsed="false">
      <c r="A43" s="4"/>
      <c r="B43" s="13"/>
      <c r="C43" s="14"/>
      <c r="D43" s="15"/>
      <c r="E43" s="16"/>
      <c r="F43" s="17" t="str">
        <f aca="false">IF(AND(D43="",E43=""),"",IF(D43&lt;&gt;"",D43,E43/'Budget du don'!$G$4))</f>
        <v/>
      </c>
      <c r="G43" s="18" t="str">
        <f aca="false">IF(F43="","",F43*'Budget du don'!$G$4)</f>
        <v/>
      </c>
      <c r="H43" s="19" t="str">
        <f aca="false">IF(OR(A43="",C43="",F43=""),"",C43*F43)</f>
        <v/>
      </c>
      <c r="I43" s="18" t="str">
        <f aca="false">IF(H43="","",H43*'Budget du don'!$G$4)</f>
        <v/>
      </c>
    </row>
    <row r="44" customFormat="false" ht="15" hidden="false" customHeight="false" outlineLevel="0" collapsed="false">
      <c r="A44" s="4"/>
      <c r="B44" s="13"/>
      <c r="C44" s="14"/>
      <c r="D44" s="15"/>
      <c r="E44" s="16"/>
      <c r="F44" s="17" t="str">
        <f aca="false">IF(AND(D44="",E44=""),"",IF(D44&lt;&gt;"",D44,E44/'Budget du don'!$G$4))</f>
        <v/>
      </c>
      <c r="G44" s="18" t="str">
        <f aca="false">IF(F44="","",F44*'Budget du don'!$G$4)</f>
        <v/>
      </c>
      <c r="H44" s="19" t="str">
        <f aca="false">IF(OR(A44="",C44="",F44=""),"",C44*F44)</f>
        <v/>
      </c>
      <c r="I44" s="18" t="str">
        <f aca="false">IF(H44="","",H44*'Budget du don'!$G$4)</f>
        <v/>
      </c>
    </row>
    <row r="45" customFormat="false" ht="15" hidden="false" customHeight="false" outlineLevel="0" collapsed="false">
      <c r="A45" s="4"/>
      <c r="B45" s="13"/>
      <c r="C45" s="14"/>
      <c r="D45" s="15"/>
      <c r="E45" s="16"/>
      <c r="F45" s="17" t="str">
        <f aca="false">IF(AND(D45="",E45=""),"",IF(D45&lt;&gt;"",D45,E45/'Budget du don'!$G$4))</f>
        <v/>
      </c>
      <c r="G45" s="18" t="str">
        <f aca="false">IF(F45="","",F45*'Budget du don'!$G$4)</f>
        <v/>
      </c>
      <c r="H45" s="19" t="str">
        <f aca="false">IF(OR(A45="",C45="",F45=""),"",C45*F45)</f>
        <v/>
      </c>
      <c r="I45" s="18" t="str">
        <f aca="false">IF(H45="","",H45*'Budget du don'!$G$4)</f>
        <v/>
      </c>
    </row>
    <row r="46" customFormat="false" ht="15" hidden="false" customHeight="false" outlineLevel="0" collapsed="false">
      <c r="A46" s="4"/>
      <c r="B46" s="13"/>
      <c r="C46" s="14"/>
      <c r="D46" s="15"/>
      <c r="E46" s="16"/>
      <c r="F46" s="17" t="str">
        <f aca="false">IF(AND(D46="",E46=""),"",IF(D46&lt;&gt;"",D46,E46/'Budget du don'!$G$4))</f>
        <v/>
      </c>
      <c r="G46" s="18" t="str">
        <f aca="false">IF(F46="","",F46*'Budget du don'!$G$4)</f>
        <v/>
      </c>
      <c r="H46" s="19" t="str">
        <f aca="false">IF(OR(A46="",C46="",F46=""),"",C46*F46)</f>
        <v/>
      </c>
      <c r="I46" s="18" t="str">
        <f aca="false">IF(H46="","",H46*'Budget du don'!$G$4)</f>
        <v/>
      </c>
    </row>
    <row r="47" customFormat="false" ht="15" hidden="false" customHeight="false" outlineLevel="0" collapsed="false">
      <c r="A47" s="4"/>
      <c r="B47" s="13"/>
      <c r="C47" s="14"/>
      <c r="D47" s="15"/>
      <c r="E47" s="16"/>
      <c r="F47" s="17" t="str">
        <f aca="false">IF(AND(D47="",E47=""),"",IF(D47&lt;&gt;"",D47,E47/'Budget du don'!$G$4))</f>
        <v/>
      </c>
      <c r="G47" s="18" t="str">
        <f aca="false">IF(F47="","",F47*'Budget du don'!$G$4)</f>
        <v/>
      </c>
      <c r="H47" s="19" t="str">
        <f aca="false">IF(OR(A47="",C47="",F47=""),"",C47*F47)</f>
        <v/>
      </c>
      <c r="I47" s="18" t="str">
        <f aca="false">IF(H47="","",H47*'Budget du don'!$G$4)</f>
        <v/>
      </c>
    </row>
    <row r="48" customFormat="false" ht="15" hidden="false" customHeight="false" outlineLevel="0" collapsed="false">
      <c r="A48" s="4"/>
      <c r="B48" s="13"/>
      <c r="C48" s="14"/>
      <c r="D48" s="15"/>
      <c r="E48" s="16"/>
      <c r="F48" s="17" t="str">
        <f aca="false">IF(AND(D48="",E48=""),"",IF(D48&lt;&gt;"",D48,E48/'Budget du don'!$G$4))</f>
        <v/>
      </c>
      <c r="G48" s="18" t="str">
        <f aca="false">IF(F48="","",F48*'Budget du don'!$G$4)</f>
        <v/>
      </c>
      <c r="H48" s="19" t="str">
        <f aca="false">IF(OR(A48="",C48="",F48=""),"",C48*F48)</f>
        <v/>
      </c>
      <c r="I48" s="18" t="str">
        <f aca="false">IF(H48="","",H48*'Budget du don'!$G$4)</f>
        <v/>
      </c>
    </row>
    <row r="49" customFormat="false" ht="21.75" hidden="false" customHeight="true" outlineLevel="0" collapsed="false">
      <c r="A49" s="20" t="s">
        <v>33</v>
      </c>
      <c r="B49" s="21"/>
      <c r="C49" s="21"/>
      <c r="D49" s="21"/>
      <c r="E49" s="21"/>
      <c r="F49" s="21"/>
      <c r="G49" s="21"/>
      <c r="H49" s="22" t="n">
        <f aca="false">SUM(H9:H48)</f>
        <v>182.938820684892</v>
      </c>
      <c r="I49" s="23" t="n">
        <f aca="false">SUM(I9:I48)</f>
        <v>120000</v>
      </c>
    </row>
  </sheetData>
  <mergeCells count="10">
    <mergeCell ref="A1:I1"/>
    <mergeCell ref="A2:I2"/>
    <mergeCell ref="B3:C3"/>
    <mergeCell ref="B4:C4"/>
    <mergeCell ref="A6:B6"/>
    <mergeCell ref="C6:D6"/>
    <mergeCell ref="E6:F6"/>
    <mergeCell ref="A7:B7"/>
    <mergeCell ref="C7:D7"/>
    <mergeCell ref="E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3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24"/>
  </cols>
  <sheetData>
    <row r="1" customFormat="false" ht="27.75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8" t="s">
        <v>36</v>
      </c>
      <c r="B4" s="8"/>
      <c r="C4" s="8" t="s">
        <v>37</v>
      </c>
      <c r="D4" s="8"/>
      <c r="E4" s="8" t="s">
        <v>38</v>
      </c>
      <c r="F4" s="8"/>
      <c r="G4" s="8" t="s">
        <v>39</v>
      </c>
      <c r="H4" s="8"/>
      <c r="I4" s="8" t="s">
        <v>40</v>
      </c>
      <c r="J4" s="8"/>
      <c r="K4" s="8" t="s">
        <v>41</v>
      </c>
      <c r="L4" s="8"/>
    </row>
    <row r="5" customFormat="false" ht="21.75" hidden="false" customHeight="true" outlineLevel="0" collapsed="false">
      <c r="A5" s="24" t="n">
        <f aca="false">SUM(F9:F48)</f>
        <v>182.938820684892</v>
      </c>
      <c r="B5" s="24"/>
      <c r="C5" s="25" t="n">
        <f aca="false">SUM(F9:F48)*'Budget du don'!$G$4</f>
        <v>120000</v>
      </c>
      <c r="D5" s="25"/>
      <c r="E5" s="26" t="n">
        <f aca="false">SUM(K9:K48)</f>
        <v>195.134742063885</v>
      </c>
      <c r="F5" s="26"/>
      <c r="G5" s="10" t="n">
        <f aca="false">SUM(K9:K48)*'Budget du don'!$G$4</f>
        <v>128000</v>
      </c>
      <c r="H5" s="10"/>
      <c r="I5" s="9" t="n">
        <f aca="false">SUM(F9:F48)-SUM(K9:K48)</f>
        <v>-12.1959213789929</v>
      </c>
      <c r="J5" s="9"/>
      <c r="K5" s="27" t="n">
        <f aca="false">IF(SUM(F9:F48)=0,"",SUM(K9:K48)/SUM(F9:F48))</f>
        <v>1.06666666666667</v>
      </c>
      <c r="L5" s="27"/>
    </row>
    <row r="7" customFormat="false" ht="18" hidden="false" customHeight="true" outlineLevel="0" collapsed="false">
      <c r="A7" s="28" t="s">
        <v>42</v>
      </c>
      <c r="B7" s="28"/>
      <c r="C7" s="28"/>
      <c r="D7" s="28"/>
      <c r="E7" s="28"/>
      <c r="F7" s="28"/>
      <c r="G7" s="28"/>
      <c r="H7" s="29" t="s">
        <v>43</v>
      </c>
      <c r="I7" s="29"/>
      <c r="J7" s="29"/>
      <c r="K7" s="29"/>
      <c r="L7" s="29"/>
      <c r="M7" s="30" t="s">
        <v>44</v>
      </c>
      <c r="N7" s="30"/>
      <c r="O7" s="30"/>
      <c r="P7" s="30"/>
    </row>
    <row r="8" customFormat="false" ht="27.75" hidden="false" customHeight="true" outlineLevel="0" collapsed="false">
      <c r="A8" s="12" t="s">
        <v>45</v>
      </c>
      <c r="B8" s="12" t="s">
        <v>12</v>
      </c>
      <c r="C8" s="12" t="s">
        <v>46</v>
      </c>
      <c r="D8" s="12" t="s">
        <v>47</v>
      </c>
      <c r="E8" s="12" t="s">
        <v>48</v>
      </c>
      <c r="F8" s="12" t="s">
        <v>49</v>
      </c>
      <c r="G8" s="12" t="s">
        <v>50</v>
      </c>
      <c r="H8" s="12" t="s">
        <v>51</v>
      </c>
      <c r="I8" s="12" t="s">
        <v>52</v>
      </c>
      <c r="J8" s="12" t="s">
        <v>53</v>
      </c>
      <c r="K8" s="12" t="s">
        <v>54</v>
      </c>
      <c r="L8" s="12" t="s">
        <v>55</v>
      </c>
      <c r="M8" s="12" t="s">
        <v>56</v>
      </c>
      <c r="N8" s="12" t="s">
        <v>57</v>
      </c>
      <c r="O8" s="12" t="s">
        <v>58</v>
      </c>
      <c r="P8" s="12" t="s">
        <v>59</v>
      </c>
    </row>
    <row r="9" customFormat="false" ht="15" hidden="false" customHeight="false" outlineLevel="0" collapsed="false">
      <c r="A9" s="31" t="str">
        <f aca="false">IF('Budget du don'!A9="","",'Budget du don'!A9)</f>
        <v>Sac de riz 25 kg</v>
      </c>
      <c r="B9" s="32" t="str">
        <f aca="false">IF(OR('Budget du don'!A9="",'Budget du don'!B9=""),"",'Budget du don'!B9)</f>
        <v>sac</v>
      </c>
      <c r="C9" s="33" t="n">
        <f aca="false">IF(OR('Budget du don'!A9="",'Budget du don'!C9=""),"",'Budget du don'!C9)</f>
        <v>10</v>
      </c>
      <c r="D9" s="17" t="n">
        <f aca="false">IF(OR('Budget du don'!A9="",'Budget du don'!F9=""),"",'Budget du don'!F9)</f>
        <v>18.2938820684892</v>
      </c>
      <c r="E9" s="18" t="n">
        <f aca="false">IF(D9="","",D9*'Budget du don'!$G$4)</f>
        <v>12000</v>
      </c>
      <c r="F9" s="17" t="n">
        <f aca="false">IF('Budget du don'!H9="","",'Budget du don'!H9)</f>
        <v>182.938820684892</v>
      </c>
      <c r="G9" s="18" t="n">
        <f aca="false">IF(F9="","",F9*'Budget du don'!$G$4)</f>
        <v>120000</v>
      </c>
      <c r="H9" s="14" t="n">
        <v>10</v>
      </c>
      <c r="I9" s="15"/>
      <c r="J9" s="16" t="n">
        <v>12800</v>
      </c>
      <c r="K9" s="19" t="n">
        <f aca="false">IF(OR(H9="",AND(I9="",J9="")),"",H9*IF(I9&lt;&gt;"",I9,J9/'Budget du don'!$G$4))</f>
        <v>195.134742063885</v>
      </c>
      <c r="L9" s="18" t="n">
        <f aca="false">IF(K9="","",K9*'Budget du don'!$G$4)</f>
        <v>128000</v>
      </c>
      <c r="M9" s="17" t="n">
        <f aca="false">IF(OR(F9="",K9=""),"",F9-K9)</f>
        <v>-12.1959213789929</v>
      </c>
      <c r="N9" s="18" t="n">
        <f aca="false">IF(M9="","",M9*'Budget du don'!$G$4)</f>
        <v>-8000.00000000002</v>
      </c>
      <c r="O9" s="34" t="n">
        <f aca="false">IF(OR(D9="",D9=0,H9="",AND(I9="",J9="")),"",(IF(I9&lt;&gt;"",I9,J9/'Budget du don'!$G$4)-D9)/D9)</f>
        <v>0.0666666666666667</v>
      </c>
      <c r="P9" s="4" t="s">
        <v>60</v>
      </c>
    </row>
    <row r="10" customFormat="false" ht="15" hidden="false" customHeight="false" outlineLevel="0" collapsed="false">
      <c r="A10" s="31" t="str">
        <f aca="false">IF('Budget du don'!A10="","",'Budget du don'!A10)</f>
        <v>Cahier 96 pages</v>
      </c>
      <c r="B10" s="32" t="str">
        <f aca="false">IF(OR('Budget du don'!A10="",'Budget du don'!B10=""),"",'Budget du don'!B10)</f>
        <v>pièce</v>
      </c>
      <c r="C10" s="33" t="str">
        <f aca="false">IF(OR('Budget du don'!A10="",'Budget du don'!C10=""),"",'Budget du don'!C10)</f>
        <v/>
      </c>
      <c r="D10" s="17" t="str">
        <f aca="false">IF(OR('Budget du don'!A10="",'Budget du don'!F10=""),"",'Budget du don'!F10)</f>
        <v/>
      </c>
      <c r="E10" s="18" t="str">
        <f aca="false">IF(D10="","",D10*'Budget du don'!$G$4)</f>
        <v/>
      </c>
      <c r="F10" s="17" t="str">
        <f aca="false">IF('Budget du don'!H10="","",'Budget du don'!H10)</f>
        <v/>
      </c>
      <c r="G10" s="18" t="str">
        <f aca="false">IF(F10="","",F10*'Budget du don'!$G$4)</f>
        <v/>
      </c>
      <c r="H10" s="14"/>
      <c r="I10" s="15"/>
      <c r="J10" s="16"/>
      <c r="K10" s="19" t="str">
        <f aca="false">IF(OR(H10="",AND(I10="",J10="")),"",H10*IF(I10&lt;&gt;"",I10,J10/'Budget du don'!$G$4))</f>
        <v/>
      </c>
      <c r="L10" s="18" t="str">
        <f aca="false">IF(K10="","",K10*'Budget du don'!$G$4)</f>
        <v/>
      </c>
      <c r="M10" s="17" t="str">
        <f aca="false">IF(OR(F10="",K10=""),"",F10-K10)</f>
        <v/>
      </c>
      <c r="N10" s="18" t="str">
        <f aca="false">IF(M10="","",M10*'Budget du don'!$G$4)</f>
        <v/>
      </c>
      <c r="O10" s="34" t="str">
        <f aca="false">IF(OR(D10="",D10=0,H10="",AND(I10="",J10="")),"",(IF(I10&lt;&gt;"",I10,J10/'Budget du don'!$G$4)-D10)/D10)</f>
        <v/>
      </c>
      <c r="P10" s="4"/>
    </row>
    <row r="11" customFormat="false" ht="15" hidden="false" customHeight="false" outlineLevel="0" collapsed="false">
      <c r="A11" s="31" t="str">
        <f aca="false">IF('Budget du don'!A11="","",'Budget du don'!A11)</f>
        <v>Stylo bleu</v>
      </c>
      <c r="B11" s="32" t="str">
        <f aca="false">IF(OR('Budget du don'!A11="",'Budget du don'!B11=""),"",'Budget du don'!B11)</f>
        <v>pièce</v>
      </c>
      <c r="C11" s="33" t="str">
        <f aca="false">IF(OR('Budget du don'!A11="",'Budget du don'!C11=""),"",'Budget du don'!C11)</f>
        <v/>
      </c>
      <c r="D11" s="17" t="str">
        <f aca="false">IF(OR('Budget du don'!A11="",'Budget du don'!F11=""),"",'Budget du don'!F11)</f>
        <v/>
      </c>
      <c r="E11" s="18" t="str">
        <f aca="false">IF(D11="","",D11*'Budget du don'!$G$4)</f>
        <v/>
      </c>
      <c r="F11" s="17" t="str">
        <f aca="false">IF('Budget du don'!H11="","",'Budget du don'!H11)</f>
        <v/>
      </c>
      <c r="G11" s="18" t="str">
        <f aca="false">IF(F11="","",F11*'Budget du don'!$G$4)</f>
        <v/>
      </c>
      <c r="H11" s="14"/>
      <c r="I11" s="15"/>
      <c r="J11" s="16"/>
      <c r="K11" s="19" t="str">
        <f aca="false">IF(OR(H11="",AND(I11="",J11="")),"",H11*IF(I11&lt;&gt;"",I11,J11/'Budget du don'!$G$4))</f>
        <v/>
      </c>
      <c r="L11" s="18" t="str">
        <f aca="false">IF(K11="","",K11*'Budget du don'!$G$4)</f>
        <v/>
      </c>
      <c r="M11" s="17" t="str">
        <f aca="false">IF(OR(F11="",K11=""),"",F11-K11)</f>
        <v/>
      </c>
      <c r="N11" s="18" t="str">
        <f aca="false">IF(M11="","",M11*'Budget du don'!$G$4)</f>
        <v/>
      </c>
      <c r="O11" s="34" t="str">
        <f aca="false">IF(OR(D11="",D11=0,H11="",AND(I11="",J11="")),"",(IF(I11&lt;&gt;"",I11,J11/'Budget du don'!$G$4)-D11)/D11)</f>
        <v/>
      </c>
      <c r="P11" s="4"/>
    </row>
    <row r="12" customFormat="false" ht="15" hidden="false" customHeight="false" outlineLevel="0" collapsed="false">
      <c r="A12" s="31" t="str">
        <f aca="false">IF('Budget du don'!A12="","",'Budget du don'!A12)</f>
        <v>Cartable</v>
      </c>
      <c r="B12" s="32" t="str">
        <f aca="false">IF(OR('Budget du don'!A12="",'Budget du don'!B12=""),"",'Budget du don'!B12)</f>
        <v>pièce</v>
      </c>
      <c r="C12" s="33" t="str">
        <f aca="false">IF(OR('Budget du don'!A12="",'Budget du don'!C12=""),"",'Budget du don'!C12)</f>
        <v/>
      </c>
      <c r="D12" s="17" t="str">
        <f aca="false">IF(OR('Budget du don'!A12="",'Budget du don'!F12=""),"",'Budget du don'!F12)</f>
        <v/>
      </c>
      <c r="E12" s="18" t="str">
        <f aca="false">IF(D12="","",D12*'Budget du don'!$G$4)</f>
        <v/>
      </c>
      <c r="F12" s="17" t="str">
        <f aca="false">IF('Budget du don'!H12="","",'Budget du don'!H12)</f>
        <v/>
      </c>
      <c r="G12" s="18" t="str">
        <f aca="false">IF(F12="","",F12*'Budget du don'!$G$4)</f>
        <v/>
      </c>
      <c r="H12" s="14"/>
      <c r="I12" s="15"/>
      <c r="J12" s="16"/>
      <c r="K12" s="19" t="str">
        <f aca="false">IF(OR(H12="",AND(I12="",J12="")),"",H12*IF(I12&lt;&gt;"",I12,J12/'Budget du don'!$G$4))</f>
        <v/>
      </c>
      <c r="L12" s="18" t="str">
        <f aca="false">IF(K12="","",K12*'Budget du don'!$G$4)</f>
        <v/>
      </c>
      <c r="M12" s="17" t="str">
        <f aca="false">IF(OR(F12="",K12=""),"",F12-K12)</f>
        <v/>
      </c>
      <c r="N12" s="18" t="str">
        <f aca="false">IF(M12="","",M12*'Budget du don'!$G$4)</f>
        <v/>
      </c>
      <c r="O12" s="34" t="str">
        <f aca="false">IF(OR(D12="",D12=0,H12="",AND(I12="",J12="")),"",(IF(I12&lt;&gt;"",I12,J12/'Budget du don'!$G$4)-D12)/D12)</f>
        <v/>
      </c>
      <c r="P12" s="4"/>
    </row>
    <row r="13" customFormat="false" ht="15" hidden="false" customHeight="false" outlineLevel="0" collapsed="false">
      <c r="A13" s="31" t="str">
        <f aca="false">IF('Budget du don'!A13="","",'Budget du don'!A13)</f>
        <v>Craie blanche</v>
      </c>
      <c r="B13" s="32" t="str">
        <f aca="false">IF(OR('Budget du don'!A13="",'Budget du don'!B13=""),"",'Budget du don'!B13)</f>
        <v>boîte de 100</v>
      </c>
      <c r="C13" s="33" t="str">
        <f aca="false">IF(OR('Budget du don'!A13="",'Budget du don'!C13=""),"",'Budget du don'!C13)</f>
        <v/>
      </c>
      <c r="D13" s="17" t="str">
        <f aca="false">IF(OR('Budget du don'!A13="",'Budget du don'!F13=""),"",'Budget du don'!F13)</f>
        <v/>
      </c>
      <c r="E13" s="18" t="str">
        <f aca="false">IF(D13="","",D13*'Budget du don'!$G$4)</f>
        <v/>
      </c>
      <c r="F13" s="17" t="str">
        <f aca="false">IF('Budget du don'!H13="","",'Budget du don'!H13)</f>
        <v/>
      </c>
      <c r="G13" s="18" t="str">
        <f aca="false">IF(F13="","",F13*'Budget du don'!$G$4)</f>
        <v/>
      </c>
      <c r="H13" s="14"/>
      <c r="I13" s="15"/>
      <c r="J13" s="16"/>
      <c r="K13" s="19" t="str">
        <f aca="false">IF(OR(H13="",AND(I13="",J13="")),"",H13*IF(I13&lt;&gt;"",I13,J13/'Budget du don'!$G$4))</f>
        <v/>
      </c>
      <c r="L13" s="18" t="str">
        <f aca="false">IF(K13="","",K13*'Budget du don'!$G$4)</f>
        <v/>
      </c>
      <c r="M13" s="17" t="str">
        <f aca="false">IF(OR(F13="",K13=""),"",F13-K13)</f>
        <v/>
      </c>
      <c r="N13" s="18" t="str">
        <f aca="false">IF(M13="","",M13*'Budget du don'!$G$4)</f>
        <v/>
      </c>
      <c r="O13" s="34" t="str">
        <f aca="false">IF(OR(D13="",D13=0,H13="",AND(I13="",J13="")),"",(IF(I13&lt;&gt;"",I13,J13/'Budget du don'!$G$4)-D13)/D13)</f>
        <v/>
      </c>
      <c r="P13" s="4"/>
    </row>
    <row r="14" customFormat="false" ht="15" hidden="false" customHeight="false" outlineLevel="0" collapsed="false">
      <c r="A14" s="31" t="str">
        <f aca="false">IF('Budget du don'!A14="","",'Budget du don'!A14)</f>
        <v>Huile végétale</v>
      </c>
      <c r="B14" s="32" t="str">
        <f aca="false">IF(OR('Budget du don'!A14="",'Budget du don'!B14=""),"",'Budget du don'!B14)</f>
        <v>bidon 1 L</v>
      </c>
      <c r="C14" s="33" t="str">
        <f aca="false">IF(OR('Budget du don'!A14="",'Budget du don'!C14=""),"",'Budget du don'!C14)</f>
        <v/>
      </c>
      <c r="D14" s="17" t="str">
        <f aca="false">IF(OR('Budget du don'!A14="",'Budget du don'!F14=""),"",'Budget du don'!F14)</f>
        <v/>
      </c>
      <c r="E14" s="18" t="str">
        <f aca="false">IF(D14="","",D14*'Budget du don'!$G$4)</f>
        <v/>
      </c>
      <c r="F14" s="17" t="str">
        <f aca="false">IF('Budget du don'!H14="","",'Budget du don'!H14)</f>
        <v/>
      </c>
      <c r="G14" s="18" t="str">
        <f aca="false">IF(F14="","",F14*'Budget du don'!$G$4)</f>
        <v/>
      </c>
      <c r="H14" s="14"/>
      <c r="I14" s="15"/>
      <c r="J14" s="16"/>
      <c r="K14" s="19" t="str">
        <f aca="false">IF(OR(H14="",AND(I14="",J14="")),"",H14*IF(I14&lt;&gt;"",I14,J14/'Budget du don'!$G$4))</f>
        <v/>
      </c>
      <c r="L14" s="18" t="str">
        <f aca="false">IF(K14="","",K14*'Budget du don'!$G$4)</f>
        <v/>
      </c>
      <c r="M14" s="17" t="str">
        <f aca="false">IF(OR(F14="",K14=""),"",F14-K14)</f>
        <v/>
      </c>
      <c r="N14" s="18" t="str">
        <f aca="false">IF(M14="","",M14*'Budget du don'!$G$4)</f>
        <v/>
      </c>
      <c r="O14" s="34" t="str">
        <f aca="false">IF(OR(D14="",D14=0,H14="",AND(I14="",J14="")),"",(IF(I14&lt;&gt;"",I14,J14/'Budget du don'!$G$4)-D14)/D14)</f>
        <v/>
      </c>
      <c r="P14" s="4"/>
    </row>
    <row r="15" customFormat="false" ht="15" hidden="false" customHeight="false" outlineLevel="0" collapsed="false">
      <c r="A15" s="31" t="str">
        <f aca="false">IF('Budget du don'!A15="","",'Budget du don'!A15)</f>
        <v>Savon</v>
      </c>
      <c r="B15" s="32" t="str">
        <f aca="false">IF(OR('Budget du don'!A15="",'Budget du don'!B15=""),"",'Budget du don'!B15)</f>
        <v>pièce</v>
      </c>
      <c r="C15" s="33" t="str">
        <f aca="false">IF(OR('Budget du don'!A15="",'Budget du don'!C15=""),"",'Budget du don'!C15)</f>
        <v/>
      </c>
      <c r="D15" s="17" t="str">
        <f aca="false">IF(OR('Budget du don'!A15="",'Budget du don'!F15=""),"",'Budget du don'!F15)</f>
        <v/>
      </c>
      <c r="E15" s="18" t="str">
        <f aca="false">IF(D15="","",D15*'Budget du don'!$G$4)</f>
        <v/>
      </c>
      <c r="F15" s="17" t="str">
        <f aca="false">IF('Budget du don'!H15="","",'Budget du don'!H15)</f>
        <v/>
      </c>
      <c r="G15" s="18" t="str">
        <f aca="false">IF(F15="","",F15*'Budget du don'!$G$4)</f>
        <v/>
      </c>
      <c r="H15" s="14"/>
      <c r="I15" s="15"/>
      <c r="J15" s="16"/>
      <c r="K15" s="19" t="str">
        <f aca="false">IF(OR(H15="",AND(I15="",J15="")),"",H15*IF(I15&lt;&gt;"",I15,J15/'Budget du don'!$G$4))</f>
        <v/>
      </c>
      <c r="L15" s="18" t="str">
        <f aca="false">IF(K15="","",K15*'Budget du don'!$G$4)</f>
        <v/>
      </c>
      <c r="M15" s="17" t="str">
        <f aca="false">IF(OR(F15="",K15=""),"",F15-K15)</f>
        <v/>
      </c>
      <c r="N15" s="18" t="str">
        <f aca="false">IF(M15="","",M15*'Budget du don'!$G$4)</f>
        <v/>
      </c>
      <c r="O15" s="34" t="str">
        <f aca="false">IF(OR(D15="",D15=0,H15="",AND(I15="",J15="")),"",(IF(I15&lt;&gt;"",I15,J15/'Budget du don'!$G$4)-D15)/D15)</f>
        <v/>
      </c>
      <c r="P15" s="4"/>
    </row>
    <row r="16" customFormat="false" ht="15" hidden="false" customHeight="false" outlineLevel="0" collapsed="false">
      <c r="A16" s="31" t="str">
        <f aca="false">IF('Budget du don'!A16="","",'Budget du don'!A16)</f>
        <v>Vêtements enfant</v>
      </c>
      <c r="B16" s="32" t="str">
        <f aca="false">IF(OR('Budget du don'!A16="",'Budget du don'!B16=""),"",'Budget du don'!B16)</f>
        <v>lot</v>
      </c>
      <c r="C16" s="33" t="str">
        <f aca="false">IF(OR('Budget du don'!A16="",'Budget du don'!C16=""),"",'Budget du don'!C16)</f>
        <v/>
      </c>
      <c r="D16" s="17" t="str">
        <f aca="false">IF(OR('Budget du don'!A16="",'Budget du don'!F16=""),"",'Budget du don'!F16)</f>
        <v/>
      </c>
      <c r="E16" s="18" t="str">
        <f aca="false">IF(D16="","",D16*'Budget du don'!$G$4)</f>
        <v/>
      </c>
      <c r="F16" s="17" t="str">
        <f aca="false">IF('Budget du don'!H16="","",'Budget du don'!H16)</f>
        <v/>
      </c>
      <c r="G16" s="18" t="str">
        <f aca="false">IF(F16="","",F16*'Budget du don'!$G$4)</f>
        <v/>
      </c>
      <c r="H16" s="14"/>
      <c r="I16" s="15"/>
      <c r="J16" s="16"/>
      <c r="K16" s="19" t="str">
        <f aca="false">IF(OR(H16="",AND(I16="",J16="")),"",H16*IF(I16&lt;&gt;"",I16,J16/'Budget du don'!$G$4))</f>
        <v/>
      </c>
      <c r="L16" s="18" t="str">
        <f aca="false">IF(K16="","",K16*'Budget du don'!$G$4)</f>
        <v/>
      </c>
      <c r="M16" s="17" t="str">
        <f aca="false">IF(OR(F16="",K16=""),"",F16-K16)</f>
        <v/>
      </c>
      <c r="N16" s="18" t="str">
        <f aca="false">IF(M16="","",M16*'Budget du don'!$G$4)</f>
        <v/>
      </c>
      <c r="O16" s="34" t="str">
        <f aca="false">IF(OR(D16="",D16=0,H16="",AND(I16="",J16="")),"",(IF(I16&lt;&gt;"",I16,J16/'Budget du don'!$G$4)-D16)/D16)</f>
        <v/>
      </c>
      <c r="P16" s="4"/>
    </row>
    <row r="17" customFormat="false" ht="15" hidden="false" customHeight="false" outlineLevel="0" collapsed="false">
      <c r="A17" s="31" t="str">
        <f aca="false">IF('Budget du don'!A17="","",'Budget du don'!A17)</f>
        <v/>
      </c>
      <c r="B17" s="32" t="str">
        <f aca="false">IF(OR('Budget du don'!A17="",'Budget du don'!B17=""),"",'Budget du don'!B17)</f>
        <v/>
      </c>
      <c r="C17" s="33" t="str">
        <f aca="false">IF(OR('Budget du don'!A17="",'Budget du don'!C17=""),"",'Budget du don'!C17)</f>
        <v/>
      </c>
      <c r="D17" s="17" t="str">
        <f aca="false">IF(OR('Budget du don'!A17="",'Budget du don'!F17=""),"",'Budget du don'!F17)</f>
        <v/>
      </c>
      <c r="E17" s="18" t="str">
        <f aca="false">IF(D17="","",D17*'Budget du don'!$G$4)</f>
        <v/>
      </c>
      <c r="F17" s="17" t="str">
        <f aca="false">IF('Budget du don'!H17="","",'Budget du don'!H17)</f>
        <v/>
      </c>
      <c r="G17" s="18" t="str">
        <f aca="false">IF(F17="","",F17*'Budget du don'!$G$4)</f>
        <v/>
      </c>
      <c r="H17" s="14"/>
      <c r="I17" s="15"/>
      <c r="J17" s="16"/>
      <c r="K17" s="19" t="str">
        <f aca="false">IF(OR(H17="",AND(I17="",J17="")),"",H17*IF(I17&lt;&gt;"",I17,J17/'Budget du don'!$G$4))</f>
        <v/>
      </c>
      <c r="L17" s="18" t="str">
        <f aca="false">IF(K17="","",K17*'Budget du don'!$G$4)</f>
        <v/>
      </c>
      <c r="M17" s="17" t="str">
        <f aca="false">IF(OR(F17="",K17=""),"",F17-K17)</f>
        <v/>
      </c>
      <c r="N17" s="18" t="str">
        <f aca="false">IF(M17="","",M17*'Budget du don'!$G$4)</f>
        <v/>
      </c>
      <c r="O17" s="34" t="str">
        <f aca="false">IF(OR(D17="",D17=0,H17="",AND(I17="",J17="")),"",(IF(I17&lt;&gt;"",I17,J17/'Budget du don'!$G$4)-D17)/D17)</f>
        <v/>
      </c>
      <c r="P17" s="4"/>
    </row>
    <row r="18" customFormat="false" ht="15" hidden="false" customHeight="false" outlineLevel="0" collapsed="false">
      <c r="A18" s="31" t="str">
        <f aca="false">IF('Budget du don'!A18="","",'Budget du don'!A18)</f>
        <v/>
      </c>
      <c r="B18" s="32" t="str">
        <f aca="false">IF(OR('Budget du don'!A18="",'Budget du don'!B18=""),"",'Budget du don'!B18)</f>
        <v/>
      </c>
      <c r="C18" s="33" t="str">
        <f aca="false">IF(OR('Budget du don'!A18="",'Budget du don'!C18=""),"",'Budget du don'!C18)</f>
        <v/>
      </c>
      <c r="D18" s="17" t="str">
        <f aca="false">IF(OR('Budget du don'!A18="",'Budget du don'!F18=""),"",'Budget du don'!F18)</f>
        <v/>
      </c>
      <c r="E18" s="18" t="str">
        <f aca="false">IF(D18="","",D18*'Budget du don'!$G$4)</f>
        <v/>
      </c>
      <c r="F18" s="17" t="str">
        <f aca="false">IF('Budget du don'!H18="","",'Budget du don'!H18)</f>
        <v/>
      </c>
      <c r="G18" s="18" t="str">
        <f aca="false">IF(F18="","",F18*'Budget du don'!$G$4)</f>
        <v/>
      </c>
      <c r="H18" s="14"/>
      <c r="I18" s="15"/>
      <c r="J18" s="16"/>
      <c r="K18" s="19" t="str">
        <f aca="false">IF(OR(H18="",AND(I18="",J18="")),"",H18*IF(I18&lt;&gt;"",I18,J18/'Budget du don'!$G$4))</f>
        <v/>
      </c>
      <c r="L18" s="18" t="str">
        <f aca="false">IF(K18="","",K18*'Budget du don'!$G$4)</f>
        <v/>
      </c>
      <c r="M18" s="17" t="str">
        <f aca="false">IF(OR(F18="",K18=""),"",F18-K18)</f>
        <v/>
      </c>
      <c r="N18" s="18" t="str">
        <f aca="false">IF(M18="","",M18*'Budget du don'!$G$4)</f>
        <v/>
      </c>
      <c r="O18" s="34" t="str">
        <f aca="false">IF(OR(D18="",D18=0,H18="",AND(I18="",J18="")),"",(IF(I18&lt;&gt;"",I18,J18/'Budget du don'!$G$4)-D18)/D18)</f>
        <v/>
      </c>
      <c r="P18" s="4"/>
    </row>
    <row r="19" customFormat="false" ht="15" hidden="false" customHeight="false" outlineLevel="0" collapsed="false">
      <c r="A19" s="31" t="str">
        <f aca="false">IF('Budget du don'!A19="","",'Budget du don'!A19)</f>
        <v/>
      </c>
      <c r="B19" s="32" t="str">
        <f aca="false">IF(OR('Budget du don'!A19="",'Budget du don'!B19=""),"",'Budget du don'!B19)</f>
        <v/>
      </c>
      <c r="C19" s="33" t="str">
        <f aca="false">IF(OR('Budget du don'!A19="",'Budget du don'!C19=""),"",'Budget du don'!C19)</f>
        <v/>
      </c>
      <c r="D19" s="17" t="str">
        <f aca="false">IF(OR('Budget du don'!A19="",'Budget du don'!F19=""),"",'Budget du don'!F19)</f>
        <v/>
      </c>
      <c r="E19" s="18" t="str">
        <f aca="false">IF(D19="","",D19*'Budget du don'!$G$4)</f>
        <v/>
      </c>
      <c r="F19" s="17" t="str">
        <f aca="false">IF('Budget du don'!H19="","",'Budget du don'!H19)</f>
        <v/>
      </c>
      <c r="G19" s="18" t="str">
        <f aca="false">IF(F19="","",F19*'Budget du don'!$G$4)</f>
        <v/>
      </c>
      <c r="H19" s="14"/>
      <c r="I19" s="15"/>
      <c r="J19" s="16"/>
      <c r="K19" s="19" t="str">
        <f aca="false">IF(OR(H19="",AND(I19="",J19="")),"",H19*IF(I19&lt;&gt;"",I19,J19/'Budget du don'!$G$4))</f>
        <v/>
      </c>
      <c r="L19" s="18" t="str">
        <f aca="false">IF(K19="","",K19*'Budget du don'!$G$4)</f>
        <v/>
      </c>
      <c r="M19" s="17" t="str">
        <f aca="false">IF(OR(F19="",K19=""),"",F19-K19)</f>
        <v/>
      </c>
      <c r="N19" s="18" t="str">
        <f aca="false">IF(M19="","",M19*'Budget du don'!$G$4)</f>
        <v/>
      </c>
      <c r="O19" s="34" t="str">
        <f aca="false">IF(OR(D19="",D19=0,H19="",AND(I19="",J19="")),"",(IF(I19&lt;&gt;"",I19,J19/'Budget du don'!$G$4)-D19)/D19)</f>
        <v/>
      </c>
      <c r="P19" s="4"/>
    </row>
    <row r="20" customFormat="false" ht="15" hidden="false" customHeight="false" outlineLevel="0" collapsed="false">
      <c r="A20" s="31" t="str">
        <f aca="false">IF('Budget du don'!A20="","",'Budget du don'!A20)</f>
        <v/>
      </c>
      <c r="B20" s="32" t="str">
        <f aca="false">IF(OR('Budget du don'!A20="",'Budget du don'!B20=""),"",'Budget du don'!B20)</f>
        <v/>
      </c>
      <c r="C20" s="33" t="str">
        <f aca="false">IF(OR('Budget du don'!A20="",'Budget du don'!C20=""),"",'Budget du don'!C20)</f>
        <v/>
      </c>
      <c r="D20" s="17" t="str">
        <f aca="false">IF(OR('Budget du don'!A20="",'Budget du don'!F20=""),"",'Budget du don'!F20)</f>
        <v/>
      </c>
      <c r="E20" s="18" t="str">
        <f aca="false">IF(D20="","",D20*'Budget du don'!$G$4)</f>
        <v/>
      </c>
      <c r="F20" s="17" t="str">
        <f aca="false">IF('Budget du don'!H20="","",'Budget du don'!H20)</f>
        <v/>
      </c>
      <c r="G20" s="18" t="str">
        <f aca="false">IF(F20="","",F20*'Budget du don'!$G$4)</f>
        <v/>
      </c>
      <c r="H20" s="14"/>
      <c r="I20" s="15"/>
      <c r="J20" s="16"/>
      <c r="K20" s="19" t="str">
        <f aca="false">IF(OR(H20="",AND(I20="",J20="")),"",H20*IF(I20&lt;&gt;"",I20,J20/'Budget du don'!$G$4))</f>
        <v/>
      </c>
      <c r="L20" s="18" t="str">
        <f aca="false">IF(K20="","",K20*'Budget du don'!$G$4)</f>
        <v/>
      </c>
      <c r="M20" s="17" t="str">
        <f aca="false">IF(OR(F20="",K20=""),"",F20-K20)</f>
        <v/>
      </c>
      <c r="N20" s="18" t="str">
        <f aca="false">IF(M20="","",M20*'Budget du don'!$G$4)</f>
        <v/>
      </c>
      <c r="O20" s="34" t="str">
        <f aca="false">IF(OR(D20="",D20=0,H20="",AND(I20="",J20="")),"",(IF(I20&lt;&gt;"",I20,J20/'Budget du don'!$G$4)-D20)/D20)</f>
        <v/>
      </c>
      <c r="P20" s="4"/>
    </row>
    <row r="21" customFormat="false" ht="15" hidden="false" customHeight="false" outlineLevel="0" collapsed="false">
      <c r="A21" s="31" t="str">
        <f aca="false">IF('Budget du don'!A21="","",'Budget du don'!A21)</f>
        <v/>
      </c>
      <c r="B21" s="32" t="str">
        <f aca="false">IF(OR('Budget du don'!A21="",'Budget du don'!B21=""),"",'Budget du don'!B21)</f>
        <v/>
      </c>
      <c r="C21" s="33" t="str">
        <f aca="false">IF(OR('Budget du don'!A21="",'Budget du don'!C21=""),"",'Budget du don'!C21)</f>
        <v/>
      </c>
      <c r="D21" s="17" t="str">
        <f aca="false">IF(OR('Budget du don'!A21="",'Budget du don'!F21=""),"",'Budget du don'!F21)</f>
        <v/>
      </c>
      <c r="E21" s="18" t="str">
        <f aca="false">IF(D21="","",D21*'Budget du don'!$G$4)</f>
        <v/>
      </c>
      <c r="F21" s="17" t="str">
        <f aca="false">IF('Budget du don'!H21="","",'Budget du don'!H21)</f>
        <v/>
      </c>
      <c r="G21" s="18" t="str">
        <f aca="false">IF(F21="","",F21*'Budget du don'!$G$4)</f>
        <v/>
      </c>
      <c r="H21" s="14"/>
      <c r="I21" s="15"/>
      <c r="J21" s="16"/>
      <c r="K21" s="19" t="str">
        <f aca="false">IF(OR(H21="",AND(I21="",J21="")),"",H21*IF(I21&lt;&gt;"",I21,J21/'Budget du don'!$G$4))</f>
        <v/>
      </c>
      <c r="L21" s="18" t="str">
        <f aca="false">IF(K21="","",K21*'Budget du don'!$G$4)</f>
        <v/>
      </c>
      <c r="M21" s="17" t="str">
        <f aca="false">IF(OR(F21="",K21=""),"",F21-K21)</f>
        <v/>
      </c>
      <c r="N21" s="18" t="str">
        <f aca="false">IF(M21="","",M21*'Budget du don'!$G$4)</f>
        <v/>
      </c>
      <c r="O21" s="34" t="str">
        <f aca="false">IF(OR(D21="",D21=0,H21="",AND(I21="",J21="")),"",(IF(I21&lt;&gt;"",I21,J21/'Budget du don'!$G$4)-D21)/D21)</f>
        <v/>
      </c>
      <c r="P21" s="4"/>
    </row>
    <row r="22" customFormat="false" ht="15" hidden="false" customHeight="false" outlineLevel="0" collapsed="false">
      <c r="A22" s="31" t="str">
        <f aca="false">IF('Budget du don'!A22="","",'Budget du don'!A22)</f>
        <v/>
      </c>
      <c r="B22" s="32" t="str">
        <f aca="false">IF(OR('Budget du don'!A22="",'Budget du don'!B22=""),"",'Budget du don'!B22)</f>
        <v/>
      </c>
      <c r="C22" s="33" t="str">
        <f aca="false">IF(OR('Budget du don'!A22="",'Budget du don'!C22=""),"",'Budget du don'!C22)</f>
        <v/>
      </c>
      <c r="D22" s="17" t="str">
        <f aca="false">IF(OR('Budget du don'!A22="",'Budget du don'!F22=""),"",'Budget du don'!F22)</f>
        <v/>
      </c>
      <c r="E22" s="18" t="str">
        <f aca="false">IF(D22="","",D22*'Budget du don'!$G$4)</f>
        <v/>
      </c>
      <c r="F22" s="17" t="str">
        <f aca="false">IF('Budget du don'!H22="","",'Budget du don'!H22)</f>
        <v/>
      </c>
      <c r="G22" s="18" t="str">
        <f aca="false">IF(F22="","",F22*'Budget du don'!$G$4)</f>
        <v/>
      </c>
      <c r="H22" s="14"/>
      <c r="I22" s="15"/>
      <c r="J22" s="16"/>
      <c r="K22" s="19" t="str">
        <f aca="false">IF(OR(H22="",AND(I22="",J22="")),"",H22*IF(I22&lt;&gt;"",I22,J22/'Budget du don'!$G$4))</f>
        <v/>
      </c>
      <c r="L22" s="18" t="str">
        <f aca="false">IF(K22="","",K22*'Budget du don'!$G$4)</f>
        <v/>
      </c>
      <c r="M22" s="17" t="str">
        <f aca="false">IF(OR(F22="",K22=""),"",F22-K22)</f>
        <v/>
      </c>
      <c r="N22" s="18" t="str">
        <f aca="false">IF(M22="","",M22*'Budget du don'!$G$4)</f>
        <v/>
      </c>
      <c r="O22" s="34" t="str">
        <f aca="false">IF(OR(D22="",D22=0,H22="",AND(I22="",J22="")),"",(IF(I22&lt;&gt;"",I22,J22/'Budget du don'!$G$4)-D22)/D22)</f>
        <v/>
      </c>
      <c r="P22" s="4"/>
    </row>
    <row r="23" customFormat="false" ht="15" hidden="false" customHeight="false" outlineLevel="0" collapsed="false">
      <c r="A23" s="31" t="str">
        <f aca="false">IF('Budget du don'!A23="","",'Budget du don'!A23)</f>
        <v/>
      </c>
      <c r="B23" s="32" t="str">
        <f aca="false">IF(OR('Budget du don'!A23="",'Budget du don'!B23=""),"",'Budget du don'!B23)</f>
        <v/>
      </c>
      <c r="C23" s="33" t="str">
        <f aca="false">IF(OR('Budget du don'!A23="",'Budget du don'!C23=""),"",'Budget du don'!C23)</f>
        <v/>
      </c>
      <c r="D23" s="17" t="str">
        <f aca="false">IF(OR('Budget du don'!A23="",'Budget du don'!F23=""),"",'Budget du don'!F23)</f>
        <v/>
      </c>
      <c r="E23" s="18" t="str">
        <f aca="false">IF(D23="","",D23*'Budget du don'!$G$4)</f>
        <v/>
      </c>
      <c r="F23" s="17" t="str">
        <f aca="false">IF('Budget du don'!H23="","",'Budget du don'!H23)</f>
        <v/>
      </c>
      <c r="G23" s="18" t="str">
        <f aca="false">IF(F23="","",F23*'Budget du don'!$G$4)</f>
        <v/>
      </c>
      <c r="H23" s="14"/>
      <c r="I23" s="15"/>
      <c r="J23" s="16"/>
      <c r="K23" s="19" t="str">
        <f aca="false">IF(OR(H23="",AND(I23="",J23="")),"",H23*IF(I23&lt;&gt;"",I23,J23/'Budget du don'!$G$4))</f>
        <v/>
      </c>
      <c r="L23" s="18" t="str">
        <f aca="false">IF(K23="","",K23*'Budget du don'!$G$4)</f>
        <v/>
      </c>
      <c r="M23" s="17" t="str">
        <f aca="false">IF(OR(F23="",K23=""),"",F23-K23)</f>
        <v/>
      </c>
      <c r="N23" s="18" t="str">
        <f aca="false">IF(M23="","",M23*'Budget du don'!$G$4)</f>
        <v/>
      </c>
      <c r="O23" s="34" t="str">
        <f aca="false">IF(OR(D23="",D23=0,H23="",AND(I23="",J23="")),"",(IF(I23&lt;&gt;"",I23,J23/'Budget du don'!$G$4)-D23)/D23)</f>
        <v/>
      </c>
      <c r="P23" s="4"/>
    </row>
    <row r="24" customFormat="false" ht="15" hidden="false" customHeight="false" outlineLevel="0" collapsed="false">
      <c r="A24" s="31" t="str">
        <f aca="false">IF('Budget du don'!A24="","",'Budget du don'!A24)</f>
        <v/>
      </c>
      <c r="B24" s="32" t="str">
        <f aca="false">IF(OR('Budget du don'!A24="",'Budget du don'!B24=""),"",'Budget du don'!B24)</f>
        <v/>
      </c>
      <c r="C24" s="33" t="str">
        <f aca="false">IF(OR('Budget du don'!A24="",'Budget du don'!C24=""),"",'Budget du don'!C24)</f>
        <v/>
      </c>
      <c r="D24" s="17" t="str">
        <f aca="false">IF(OR('Budget du don'!A24="",'Budget du don'!F24=""),"",'Budget du don'!F24)</f>
        <v/>
      </c>
      <c r="E24" s="18" t="str">
        <f aca="false">IF(D24="","",D24*'Budget du don'!$G$4)</f>
        <v/>
      </c>
      <c r="F24" s="17" t="str">
        <f aca="false">IF('Budget du don'!H24="","",'Budget du don'!H24)</f>
        <v/>
      </c>
      <c r="G24" s="18" t="str">
        <f aca="false">IF(F24="","",F24*'Budget du don'!$G$4)</f>
        <v/>
      </c>
      <c r="H24" s="14"/>
      <c r="I24" s="15"/>
      <c r="J24" s="16"/>
      <c r="K24" s="19" t="str">
        <f aca="false">IF(OR(H24="",AND(I24="",J24="")),"",H24*IF(I24&lt;&gt;"",I24,J24/'Budget du don'!$G$4))</f>
        <v/>
      </c>
      <c r="L24" s="18" t="str">
        <f aca="false">IF(K24="","",K24*'Budget du don'!$G$4)</f>
        <v/>
      </c>
      <c r="M24" s="17" t="str">
        <f aca="false">IF(OR(F24="",K24=""),"",F24-K24)</f>
        <v/>
      </c>
      <c r="N24" s="18" t="str">
        <f aca="false">IF(M24="","",M24*'Budget du don'!$G$4)</f>
        <v/>
      </c>
      <c r="O24" s="34" t="str">
        <f aca="false">IF(OR(D24="",D24=0,H24="",AND(I24="",J24="")),"",(IF(I24&lt;&gt;"",I24,J24/'Budget du don'!$G$4)-D24)/D24)</f>
        <v/>
      </c>
      <c r="P24" s="4"/>
    </row>
    <row r="25" customFormat="false" ht="15" hidden="false" customHeight="false" outlineLevel="0" collapsed="false">
      <c r="A25" s="31" t="str">
        <f aca="false">IF('Budget du don'!A25="","",'Budget du don'!A25)</f>
        <v/>
      </c>
      <c r="B25" s="32" t="str">
        <f aca="false">IF(OR('Budget du don'!A25="",'Budget du don'!B25=""),"",'Budget du don'!B25)</f>
        <v/>
      </c>
      <c r="C25" s="33" t="str">
        <f aca="false">IF(OR('Budget du don'!A25="",'Budget du don'!C25=""),"",'Budget du don'!C25)</f>
        <v/>
      </c>
      <c r="D25" s="17" t="str">
        <f aca="false">IF(OR('Budget du don'!A25="",'Budget du don'!F25=""),"",'Budget du don'!F25)</f>
        <v/>
      </c>
      <c r="E25" s="18" t="str">
        <f aca="false">IF(D25="","",D25*'Budget du don'!$G$4)</f>
        <v/>
      </c>
      <c r="F25" s="17" t="str">
        <f aca="false">IF('Budget du don'!H25="","",'Budget du don'!H25)</f>
        <v/>
      </c>
      <c r="G25" s="18" t="str">
        <f aca="false">IF(F25="","",F25*'Budget du don'!$G$4)</f>
        <v/>
      </c>
      <c r="H25" s="14"/>
      <c r="I25" s="15"/>
      <c r="J25" s="16"/>
      <c r="K25" s="19" t="str">
        <f aca="false">IF(OR(H25="",AND(I25="",J25="")),"",H25*IF(I25&lt;&gt;"",I25,J25/'Budget du don'!$G$4))</f>
        <v/>
      </c>
      <c r="L25" s="18" t="str">
        <f aca="false">IF(K25="","",K25*'Budget du don'!$G$4)</f>
        <v/>
      </c>
      <c r="M25" s="17" t="str">
        <f aca="false">IF(OR(F25="",K25=""),"",F25-K25)</f>
        <v/>
      </c>
      <c r="N25" s="18" t="str">
        <f aca="false">IF(M25="","",M25*'Budget du don'!$G$4)</f>
        <v/>
      </c>
      <c r="O25" s="34" t="str">
        <f aca="false">IF(OR(D25="",D25=0,H25="",AND(I25="",J25="")),"",(IF(I25&lt;&gt;"",I25,J25/'Budget du don'!$G$4)-D25)/D25)</f>
        <v/>
      </c>
      <c r="P25" s="4"/>
    </row>
    <row r="26" customFormat="false" ht="15" hidden="false" customHeight="false" outlineLevel="0" collapsed="false">
      <c r="A26" s="31" t="str">
        <f aca="false">IF('Budget du don'!A26="","",'Budget du don'!A26)</f>
        <v/>
      </c>
      <c r="B26" s="32" t="str">
        <f aca="false">IF(OR('Budget du don'!A26="",'Budget du don'!B26=""),"",'Budget du don'!B26)</f>
        <v/>
      </c>
      <c r="C26" s="33" t="str">
        <f aca="false">IF(OR('Budget du don'!A26="",'Budget du don'!C26=""),"",'Budget du don'!C26)</f>
        <v/>
      </c>
      <c r="D26" s="17" t="str">
        <f aca="false">IF(OR('Budget du don'!A26="",'Budget du don'!F26=""),"",'Budget du don'!F26)</f>
        <v/>
      </c>
      <c r="E26" s="18" t="str">
        <f aca="false">IF(D26="","",D26*'Budget du don'!$G$4)</f>
        <v/>
      </c>
      <c r="F26" s="17" t="str">
        <f aca="false">IF('Budget du don'!H26="","",'Budget du don'!H26)</f>
        <v/>
      </c>
      <c r="G26" s="18" t="str">
        <f aca="false">IF(F26="","",F26*'Budget du don'!$G$4)</f>
        <v/>
      </c>
      <c r="H26" s="14"/>
      <c r="I26" s="15"/>
      <c r="J26" s="16"/>
      <c r="K26" s="19" t="str">
        <f aca="false">IF(OR(H26="",AND(I26="",J26="")),"",H26*IF(I26&lt;&gt;"",I26,J26/'Budget du don'!$G$4))</f>
        <v/>
      </c>
      <c r="L26" s="18" t="str">
        <f aca="false">IF(K26="","",K26*'Budget du don'!$G$4)</f>
        <v/>
      </c>
      <c r="M26" s="17" t="str">
        <f aca="false">IF(OR(F26="",K26=""),"",F26-K26)</f>
        <v/>
      </c>
      <c r="N26" s="18" t="str">
        <f aca="false">IF(M26="","",M26*'Budget du don'!$G$4)</f>
        <v/>
      </c>
      <c r="O26" s="34" t="str">
        <f aca="false">IF(OR(D26="",D26=0,H26="",AND(I26="",J26="")),"",(IF(I26&lt;&gt;"",I26,J26/'Budget du don'!$G$4)-D26)/D26)</f>
        <v/>
      </c>
      <c r="P26" s="4"/>
    </row>
    <row r="27" customFormat="false" ht="15" hidden="false" customHeight="false" outlineLevel="0" collapsed="false">
      <c r="A27" s="31" t="str">
        <f aca="false">IF('Budget du don'!A27="","",'Budget du don'!A27)</f>
        <v/>
      </c>
      <c r="B27" s="32" t="str">
        <f aca="false">IF(OR('Budget du don'!A27="",'Budget du don'!B27=""),"",'Budget du don'!B27)</f>
        <v/>
      </c>
      <c r="C27" s="33" t="str">
        <f aca="false">IF(OR('Budget du don'!A27="",'Budget du don'!C27=""),"",'Budget du don'!C27)</f>
        <v/>
      </c>
      <c r="D27" s="17" t="str">
        <f aca="false">IF(OR('Budget du don'!A27="",'Budget du don'!F27=""),"",'Budget du don'!F27)</f>
        <v/>
      </c>
      <c r="E27" s="18" t="str">
        <f aca="false">IF(D27="","",D27*'Budget du don'!$G$4)</f>
        <v/>
      </c>
      <c r="F27" s="17" t="str">
        <f aca="false">IF('Budget du don'!H27="","",'Budget du don'!H27)</f>
        <v/>
      </c>
      <c r="G27" s="18" t="str">
        <f aca="false">IF(F27="","",F27*'Budget du don'!$G$4)</f>
        <v/>
      </c>
      <c r="H27" s="14"/>
      <c r="I27" s="15"/>
      <c r="J27" s="16"/>
      <c r="K27" s="19" t="str">
        <f aca="false">IF(OR(H27="",AND(I27="",J27="")),"",H27*IF(I27&lt;&gt;"",I27,J27/'Budget du don'!$G$4))</f>
        <v/>
      </c>
      <c r="L27" s="18" t="str">
        <f aca="false">IF(K27="","",K27*'Budget du don'!$G$4)</f>
        <v/>
      </c>
      <c r="M27" s="17" t="str">
        <f aca="false">IF(OR(F27="",K27=""),"",F27-K27)</f>
        <v/>
      </c>
      <c r="N27" s="18" t="str">
        <f aca="false">IF(M27="","",M27*'Budget du don'!$G$4)</f>
        <v/>
      </c>
      <c r="O27" s="34" t="str">
        <f aca="false">IF(OR(D27="",D27=0,H27="",AND(I27="",J27="")),"",(IF(I27&lt;&gt;"",I27,J27/'Budget du don'!$G$4)-D27)/D27)</f>
        <v/>
      </c>
      <c r="P27" s="4"/>
    </row>
    <row r="28" customFormat="false" ht="15" hidden="false" customHeight="false" outlineLevel="0" collapsed="false">
      <c r="A28" s="31" t="str">
        <f aca="false">IF('Budget du don'!A28="","",'Budget du don'!A28)</f>
        <v/>
      </c>
      <c r="B28" s="32" t="str">
        <f aca="false">IF(OR('Budget du don'!A28="",'Budget du don'!B28=""),"",'Budget du don'!B28)</f>
        <v/>
      </c>
      <c r="C28" s="33" t="str">
        <f aca="false">IF(OR('Budget du don'!A28="",'Budget du don'!C28=""),"",'Budget du don'!C28)</f>
        <v/>
      </c>
      <c r="D28" s="17" t="str">
        <f aca="false">IF(OR('Budget du don'!A28="",'Budget du don'!F28=""),"",'Budget du don'!F28)</f>
        <v/>
      </c>
      <c r="E28" s="18" t="str">
        <f aca="false">IF(D28="","",D28*'Budget du don'!$G$4)</f>
        <v/>
      </c>
      <c r="F28" s="17" t="str">
        <f aca="false">IF('Budget du don'!H28="","",'Budget du don'!H28)</f>
        <v/>
      </c>
      <c r="G28" s="18" t="str">
        <f aca="false">IF(F28="","",F28*'Budget du don'!$G$4)</f>
        <v/>
      </c>
      <c r="H28" s="14"/>
      <c r="I28" s="15"/>
      <c r="J28" s="16"/>
      <c r="K28" s="19" t="str">
        <f aca="false">IF(OR(H28="",AND(I28="",J28="")),"",H28*IF(I28&lt;&gt;"",I28,J28/'Budget du don'!$G$4))</f>
        <v/>
      </c>
      <c r="L28" s="18" t="str">
        <f aca="false">IF(K28="","",K28*'Budget du don'!$G$4)</f>
        <v/>
      </c>
      <c r="M28" s="17" t="str">
        <f aca="false">IF(OR(F28="",K28=""),"",F28-K28)</f>
        <v/>
      </c>
      <c r="N28" s="18" t="str">
        <f aca="false">IF(M28="","",M28*'Budget du don'!$G$4)</f>
        <v/>
      </c>
      <c r="O28" s="34" t="str">
        <f aca="false">IF(OR(D28="",D28=0,H28="",AND(I28="",J28="")),"",(IF(I28&lt;&gt;"",I28,J28/'Budget du don'!$G$4)-D28)/D28)</f>
        <v/>
      </c>
      <c r="P28" s="4"/>
    </row>
    <row r="29" customFormat="false" ht="15" hidden="false" customHeight="false" outlineLevel="0" collapsed="false">
      <c r="A29" s="31" t="str">
        <f aca="false">IF('Budget du don'!A29="","",'Budget du don'!A29)</f>
        <v/>
      </c>
      <c r="B29" s="32" t="str">
        <f aca="false">IF(OR('Budget du don'!A29="",'Budget du don'!B29=""),"",'Budget du don'!B29)</f>
        <v/>
      </c>
      <c r="C29" s="33" t="str">
        <f aca="false">IF(OR('Budget du don'!A29="",'Budget du don'!C29=""),"",'Budget du don'!C29)</f>
        <v/>
      </c>
      <c r="D29" s="17" t="str">
        <f aca="false">IF(OR('Budget du don'!A29="",'Budget du don'!F29=""),"",'Budget du don'!F29)</f>
        <v/>
      </c>
      <c r="E29" s="18" t="str">
        <f aca="false">IF(D29="","",D29*'Budget du don'!$G$4)</f>
        <v/>
      </c>
      <c r="F29" s="17" t="str">
        <f aca="false">IF('Budget du don'!H29="","",'Budget du don'!H29)</f>
        <v/>
      </c>
      <c r="G29" s="18" t="str">
        <f aca="false">IF(F29="","",F29*'Budget du don'!$G$4)</f>
        <v/>
      </c>
      <c r="H29" s="14"/>
      <c r="I29" s="15"/>
      <c r="J29" s="16"/>
      <c r="K29" s="19" t="str">
        <f aca="false">IF(OR(H29="",AND(I29="",J29="")),"",H29*IF(I29&lt;&gt;"",I29,J29/'Budget du don'!$G$4))</f>
        <v/>
      </c>
      <c r="L29" s="18" t="str">
        <f aca="false">IF(K29="","",K29*'Budget du don'!$G$4)</f>
        <v/>
      </c>
      <c r="M29" s="17" t="str">
        <f aca="false">IF(OR(F29="",K29=""),"",F29-K29)</f>
        <v/>
      </c>
      <c r="N29" s="18" t="str">
        <f aca="false">IF(M29="","",M29*'Budget du don'!$G$4)</f>
        <v/>
      </c>
      <c r="O29" s="34" t="str">
        <f aca="false">IF(OR(D29="",D29=0,H29="",AND(I29="",J29="")),"",(IF(I29&lt;&gt;"",I29,J29/'Budget du don'!$G$4)-D29)/D29)</f>
        <v/>
      </c>
      <c r="P29" s="4"/>
    </row>
    <row r="30" customFormat="false" ht="15" hidden="false" customHeight="false" outlineLevel="0" collapsed="false">
      <c r="A30" s="31" t="str">
        <f aca="false">IF('Budget du don'!A30="","",'Budget du don'!A30)</f>
        <v/>
      </c>
      <c r="B30" s="32" t="str">
        <f aca="false">IF(OR('Budget du don'!A30="",'Budget du don'!B30=""),"",'Budget du don'!B30)</f>
        <v/>
      </c>
      <c r="C30" s="33" t="str">
        <f aca="false">IF(OR('Budget du don'!A30="",'Budget du don'!C30=""),"",'Budget du don'!C30)</f>
        <v/>
      </c>
      <c r="D30" s="17" t="str">
        <f aca="false">IF(OR('Budget du don'!A30="",'Budget du don'!F30=""),"",'Budget du don'!F30)</f>
        <v/>
      </c>
      <c r="E30" s="18" t="str">
        <f aca="false">IF(D30="","",D30*'Budget du don'!$G$4)</f>
        <v/>
      </c>
      <c r="F30" s="17" t="str">
        <f aca="false">IF('Budget du don'!H30="","",'Budget du don'!H30)</f>
        <v/>
      </c>
      <c r="G30" s="18" t="str">
        <f aca="false">IF(F30="","",F30*'Budget du don'!$G$4)</f>
        <v/>
      </c>
      <c r="H30" s="14"/>
      <c r="I30" s="15"/>
      <c r="J30" s="16"/>
      <c r="K30" s="19" t="str">
        <f aca="false">IF(OR(H30="",AND(I30="",J30="")),"",H30*IF(I30&lt;&gt;"",I30,J30/'Budget du don'!$G$4))</f>
        <v/>
      </c>
      <c r="L30" s="18" t="str">
        <f aca="false">IF(K30="","",K30*'Budget du don'!$G$4)</f>
        <v/>
      </c>
      <c r="M30" s="17" t="str">
        <f aca="false">IF(OR(F30="",K30=""),"",F30-K30)</f>
        <v/>
      </c>
      <c r="N30" s="18" t="str">
        <f aca="false">IF(M30="","",M30*'Budget du don'!$G$4)</f>
        <v/>
      </c>
      <c r="O30" s="34" t="str">
        <f aca="false">IF(OR(D30="",D30=0,H30="",AND(I30="",J30="")),"",(IF(I30&lt;&gt;"",I30,J30/'Budget du don'!$G$4)-D30)/D30)</f>
        <v/>
      </c>
      <c r="P30" s="4"/>
    </row>
    <row r="31" customFormat="false" ht="15" hidden="false" customHeight="false" outlineLevel="0" collapsed="false">
      <c r="A31" s="31" t="str">
        <f aca="false">IF('Budget du don'!A31="","",'Budget du don'!A31)</f>
        <v/>
      </c>
      <c r="B31" s="32" t="str">
        <f aca="false">IF(OR('Budget du don'!A31="",'Budget du don'!B31=""),"",'Budget du don'!B31)</f>
        <v/>
      </c>
      <c r="C31" s="33" t="str">
        <f aca="false">IF(OR('Budget du don'!A31="",'Budget du don'!C31=""),"",'Budget du don'!C31)</f>
        <v/>
      </c>
      <c r="D31" s="17" t="str">
        <f aca="false">IF(OR('Budget du don'!A31="",'Budget du don'!F31=""),"",'Budget du don'!F31)</f>
        <v/>
      </c>
      <c r="E31" s="18" t="str">
        <f aca="false">IF(D31="","",D31*'Budget du don'!$G$4)</f>
        <v/>
      </c>
      <c r="F31" s="17" t="str">
        <f aca="false">IF('Budget du don'!H31="","",'Budget du don'!H31)</f>
        <v/>
      </c>
      <c r="G31" s="18" t="str">
        <f aca="false">IF(F31="","",F31*'Budget du don'!$G$4)</f>
        <v/>
      </c>
      <c r="H31" s="14"/>
      <c r="I31" s="15"/>
      <c r="J31" s="16"/>
      <c r="K31" s="19" t="str">
        <f aca="false">IF(OR(H31="",AND(I31="",J31="")),"",H31*IF(I31&lt;&gt;"",I31,J31/'Budget du don'!$G$4))</f>
        <v/>
      </c>
      <c r="L31" s="18" t="str">
        <f aca="false">IF(K31="","",K31*'Budget du don'!$G$4)</f>
        <v/>
      </c>
      <c r="M31" s="17" t="str">
        <f aca="false">IF(OR(F31="",K31=""),"",F31-K31)</f>
        <v/>
      </c>
      <c r="N31" s="18" t="str">
        <f aca="false">IF(M31="","",M31*'Budget du don'!$G$4)</f>
        <v/>
      </c>
      <c r="O31" s="34" t="str">
        <f aca="false">IF(OR(D31="",D31=0,H31="",AND(I31="",J31="")),"",(IF(I31&lt;&gt;"",I31,J31/'Budget du don'!$G$4)-D31)/D31)</f>
        <v/>
      </c>
      <c r="P31" s="4"/>
    </row>
    <row r="32" customFormat="false" ht="15" hidden="false" customHeight="false" outlineLevel="0" collapsed="false">
      <c r="A32" s="31" t="str">
        <f aca="false">IF('Budget du don'!A32="","",'Budget du don'!A32)</f>
        <v/>
      </c>
      <c r="B32" s="32" t="str">
        <f aca="false">IF(OR('Budget du don'!A32="",'Budget du don'!B32=""),"",'Budget du don'!B32)</f>
        <v/>
      </c>
      <c r="C32" s="33" t="str">
        <f aca="false">IF(OR('Budget du don'!A32="",'Budget du don'!C32=""),"",'Budget du don'!C32)</f>
        <v/>
      </c>
      <c r="D32" s="17" t="str">
        <f aca="false">IF(OR('Budget du don'!A32="",'Budget du don'!F32=""),"",'Budget du don'!F32)</f>
        <v/>
      </c>
      <c r="E32" s="18" t="str">
        <f aca="false">IF(D32="","",D32*'Budget du don'!$G$4)</f>
        <v/>
      </c>
      <c r="F32" s="17" t="str">
        <f aca="false">IF('Budget du don'!H32="","",'Budget du don'!H32)</f>
        <v/>
      </c>
      <c r="G32" s="18" t="str">
        <f aca="false">IF(F32="","",F32*'Budget du don'!$G$4)</f>
        <v/>
      </c>
      <c r="H32" s="14"/>
      <c r="I32" s="15"/>
      <c r="J32" s="16"/>
      <c r="K32" s="19" t="str">
        <f aca="false">IF(OR(H32="",AND(I32="",J32="")),"",H32*IF(I32&lt;&gt;"",I32,J32/'Budget du don'!$G$4))</f>
        <v/>
      </c>
      <c r="L32" s="18" t="str">
        <f aca="false">IF(K32="","",K32*'Budget du don'!$G$4)</f>
        <v/>
      </c>
      <c r="M32" s="17" t="str">
        <f aca="false">IF(OR(F32="",K32=""),"",F32-K32)</f>
        <v/>
      </c>
      <c r="N32" s="18" t="str">
        <f aca="false">IF(M32="","",M32*'Budget du don'!$G$4)</f>
        <v/>
      </c>
      <c r="O32" s="34" t="str">
        <f aca="false">IF(OR(D32="",D32=0,H32="",AND(I32="",J32="")),"",(IF(I32&lt;&gt;"",I32,J32/'Budget du don'!$G$4)-D32)/D32)</f>
        <v/>
      </c>
      <c r="P32" s="4"/>
    </row>
    <row r="33" customFormat="false" ht="15" hidden="false" customHeight="false" outlineLevel="0" collapsed="false">
      <c r="A33" s="31" t="str">
        <f aca="false">IF('Budget du don'!A33="","",'Budget du don'!A33)</f>
        <v/>
      </c>
      <c r="B33" s="32" t="str">
        <f aca="false">IF(OR('Budget du don'!A33="",'Budget du don'!B33=""),"",'Budget du don'!B33)</f>
        <v/>
      </c>
      <c r="C33" s="33" t="str">
        <f aca="false">IF(OR('Budget du don'!A33="",'Budget du don'!C33=""),"",'Budget du don'!C33)</f>
        <v/>
      </c>
      <c r="D33" s="17" t="str">
        <f aca="false">IF(OR('Budget du don'!A33="",'Budget du don'!F33=""),"",'Budget du don'!F33)</f>
        <v/>
      </c>
      <c r="E33" s="18" t="str">
        <f aca="false">IF(D33="","",D33*'Budget du don'!$G$4)</f>
        <v/>
      </c>
      <c r="F33" s="17" t="str">
        <f aca="false">IF('Budget du don'!H33="","",'Budget du don'!H33)</f>
        <v/>
      </c>
      <c r="G33" s="18" t="str">
        <f aca="false">IF(F33="","",F33*'Budget du don'!$G$4)</f>
        <v/>
      </c>
      <c r="H33" s="14"/>
      <c r="I33" s="15"/>
      <c r="J33" s="16"/>
      <c r="K33" s="19" t="str">
        <f aca="false">IF(OR(H33="",AND(I33="",J33="")),"",H33*IF(I33&lt;&gt;"",I33,J33/'Budget du don'!$G$4))</f>
        <v/>
      </c>
      <c r="L33" s="18" t="str">
        <f aca="false">IF(K33="","",K33*'Budget du don'!$G$4)</f>
        <v/>
      </c>
      <c r="M33" s="17" t="str">
        <f aca="false">IF(OR(F33="",K33=""),"",F33-K33)</f>
        <v/>
      </c>
      <c r="N33" s="18" t="str">
        <f aca="false">IF(M33="","",M33*'Budget du don'!$G$4)</f>
        <v/>
      </c>
      <c r="O33" s="34" t="str">
        <f aca="false">IF(OR(D33="",D33=0,H33="",AND(I33="",J33="")),"",(IF(I33&lt;&gt;"",I33,J33/'Budget du don'!$G$4)-D33)/D33)</f>
        <v/>
      </c>
      <c r="P33" s="4"/>
    </row>
    <row r="34" customFormat="false" ht="15" hidden="false" customHeight="false" outlineLevel="0" collapsed="false">
      <c r="A34" s="31" t="str">
        <f aca="false">IF('Budget du don'!A34="","",'Budget du don'!A34)</f>
        <v/>
      </c>
      <c r="B34" s="32" t="str">
        <f aca="false">IF(OR('Budget du don'!A34="",'Budget du don'!B34=""),"",'Budget du don'!B34)</f>
        <v/>
      </c>
      <c r="C34" s="33" t="str">
        <f aca="false">IF(OR('Budget du don'!A34="",'Budget du don'!C34=""),"",'Budget du don'!C34)</f>
        <v/>
      </c>
      <c r="D34" s="17" t="str">
        <f aca="false">IF(OR('Budget du don'!A34="",'Budget du don'!F34=""),"",'Budget du don'!F34)</f>
        <v/>
      </c>
      <c r="E34" s="18" t="str">
        <f aca="false">IF(D34="","",D34*'Budget du don'!$G$4)</f>
        <v/>
      </c>
      <c r="F34" s="17" t="str">
        <f aca="false">IF('Budget du don'!H34="","",'Budget du don'!H34)</f>
        <v/>
      </c>
      <c r="G34" s="18" t="str">
        <f aca="false">IF(F34="","",F34*'Budget du don'!$G$4)</f>
        <v/>
      </c>
      <c r="H34" s="14"/>
      <c r="I34" s="15"/>
      <c r="J34" s="16"/>
      <c r="K34" s="19" t="str">
        <f aca="false">IF(OR(H34="",AND(I34="",J34="")),"",H34*IF(I34&lt;&gt;"",I34,J34/'Budget du don'!$G$4))</f>
        <v/>
      </c>
      <c r="L34" s="18" t="str">
        <f aca="false">IF(K34="","",K34*'Budget du don'!$G$4)</f>
        <v/>
      </c>
      <c r="M34" s="17" t="str">
        <f aca="false">IF(OR(F34="",K34=""),"",F34-K34)</f>
        <v/>
      </c>
      <c r="N34" s="18" t="str">
        <f aca="false">IF(M34="","",M34*'Budget du don'!$G$4)</f>
        <v/>
      </c>
      <c r="O34" s="34" t="str">
        <f aca="false">IF(OR(D34="",D34=0,H34="",AND(I34="",J34="")),"",(IF(I34&lt;&gt;"",I34,J34/'Budget du don'!$G$4)-D34)/D34)</f>
        <v/>
      </c>
      <c r="P34" s="4"/>
    </row>
    <row r="35" customFormat="false" ht="15" hidden="false" customHeight="false" outlineLevel="0" collapsed="false">
      <c r="A35" s="31" t="str">
        <f aca="false">IF('Budget du don'!A35="","",'Budget du don'!A35)</f>
        <v/>
      </c>
      <c r="B35" s="32" t="str">
        <f aca="false">IF(OR('Budget du don'!A35="",'Budget du don'!B35=""),"",'Budget du don'!B35)</f>
        <v/>
      </c>
      <c r="C35" s="33" t="str">
        <f aca="false">IF(OR('Budget du don'!A35="",'Budget du don'!C35=""),"",'Budget du don'!C35)</f>
        <v/>
      </c>
      <c r="D35" s="17" t="str">
        <f aca="false">IF(OR('Budget du don'!A35="",'Budget du don'!F35=""),"",'Budget du don'!F35)</f>
        <v/>
      </c>
      <c r="E35" s="18" t="str">
        <f aca="false">IF(D35="","",D35*'Budget du don'!$G$4)</f>
        <v/>
      </c>
      <c r="F35" s="17" t="str">
        <f aca="false">IF('Budget du don'!H35="","",'Budget du don'!H35)</f>
        <v/>
      </c>
      <c r="G35" s="18" t="str">
        <f aca="false">IF(F35="","",F35*'Budget du don'!$G$4)</f>
        <v/>
      </c>
      <c r="H35" s="14"/>
      <c r="I35" s="15"/>
      <c r="J35" s="16"/>
      <c r="K35" s="19" t="str">
        <f aca="false">IF(OR(H35="",AND(I35="",J35="")),"",H35*IF(I35&lt;&gt;"",I35,J35/'Budget du don'!$G$4))</f>
        <v/>
      </c>
      <c r="L35" s="18" t="str">
        <f aca="false">IF(K35="","",K35*'Budget du don'!$G$4)</f>
        <v/>
      </c>
      <c r="M35" s="17" t="str">
        <f aca="false">IF(OR(F35="",K35=""),"",F35-K35)</f>
        <v/>
      </c>
      <c r="N35" s="18" t="str">
        <f aca="false">IF(M35="","",M35*'Budget du don'!$G$4)</f>
        <v/>
      </c>
      <c r="O35" s="34" t="str">
        <f aca="false">IF(OR(D35="",D35=0,H35="",AND(I35="",J35="")),"",(IF(I35&lt;&gt;"",I35,J35/'Budget du don'!$G$4)-D35)/D35)</f>
        <v/>
      </c>
      <c r="P35" s="4"/>
    </row>
    <row r="36" customFormat="false" ht="15" hidden="false" customHeight="false" outlineLevel="0" collapsed="false">
      <c r="A36" s="31" t="str">
        <f aca="false">IF('Budget du don'!A36="","",'Budget du don'!A36)</f>
        <v/>
      </c>
      <c r="B36" s="32" t="str">
        <f aca="false">IF(OR('Budget du don'!A36="",'Budget du don'!B36=""),"",'Budget du don'!B36)</f>
        <v/>
      </c>
      <c r="C36" s="33" t="str">
        <f aca="false">IF(OR('Budget du don'!A36="",'Budget du don'!C36=""),"",'Budget du don'!C36)</f>
        <v/>
      </c>
      <c r="D36" s="17" t="str">
        <f aca="false">IF(OR('Budget du don'!A36="",'Budget du don'!F36=""),"",'Budget du don'!F36)</f>
        <v/>
      </c>
      <c r="E36" s="18" t="str">
        <f aca="false">IF(D36="","",D36*'Budget du don'!$G$4)</f>
        <v/>
      </c>
      <c r="F36" s="17" t="str">
        <f aca="false">IF('Budget du don'!H36="","",'Budget du don'!H36)</f>
        <v/>
      </c>
      <c r="G36" s="18" t="str">
        <f aca="false">IF(F36="","",F36*'Budget du don'!$G$4)</f>
        <v/>
      </c>
      <c r="H36" s="14"/>
      <c r="I36" s="15"/>
      <c r="J36" s="16"/>
      <c r="K36" s="19" t="str">
        <f aca="false">IF(OR(H36="",AND(I36="",J36="")),"",H36*IF(I36&lt;&gt;"",I36,J36/'Budget du don'!$G$4))</f>
        <v/>
      </c>
      <c r="L36" s="18" t="str">
        <f aca="false">IF(K36="","",K36*'Budget du don'!$G$4)</f>
        <v/>
      </c>
      <c r="M36" s="17" t="str">
        <f aca="false">IF(OR(F36="",K36=""),"",F36-K36)</f>
        <v/>
      </c>
      <c r="N36" s="18" t="str">
        <f aca="false">IF(M36="","",M36*'Budget du don'!$G$4)</f>
        <v/>
      </c>
      <c r="O36" s="34" t="str">
        <f aca="false">IF(OR(D36="",D36=0,H36="",AND(I36="",J36="")),"",(IF(I36&lt;&gt;"",I36,J36/'Budget du don'!$G$4)-D36)/D36)</f>
        <v/>
      </c>
      <c r="P36" s="4"/>
    </row>
    <row r="37" customFormat="false" ht="15" hidden="false" customHeight="false" outlineLevel="0" collapsed="false">
      <c r="A37" s="31" t="str">
        <f aca="false">IF('Budget du don'!A37="","",'Budget du don'!A37)</f>
        <v/>
      </c>
      <c r="B37" s="32" t="str">
        <f aca="false">IF(OR('Budget du don'!A37="",'Budget du don'!B37=""),"",'Budget du don'!B37)</f>
        <v/>
      </c>
      <c r="C37" s="33" t="str">
        <f aca="false">IF(OR('Budget du don'!A37="",'Budget du don'!C37=""),"",'Budget du don'!C37)</f>
        <v/>
      </c>
      <c r="D37" s="17" t="str">
        <f aca="false">IF(OR('Budget du don'!A37="",'Budget du don'!F37=""),"",'Budget du don'!F37)</f>
        <v/>
      </c>
      <c r="E37" s="18" t="str">
        <f aca="false">IF(D37="","",D37*'Budget du don'!$G$4)</f>
        <v/>
      </c>
      <c r="F37" s="17" t="str">
        <f aca="false">IF('Budget du don'!H37="","",'Budget du don'!H37)</f>
        <v/>
      </c>
      <c r="G37" s="18" t="str">
        <f aca="false">IF(F37="","",F37*'Budget du don'!$G$4)</f>
        <v/>
      </c>
      <c r="H37" s="14"/>
      <c r="I37" s="15"/>
      <c r="J37" s="16"/>
      <c r="K37" s="19" t="str">
        <f aca="false">IF(OR(H37="",AND(I37="",J37="")),"",H37*IF(I37&lt;&gt;"",I37,J37/'Budget du don'!$G$4))</f>
        <v/>
      </c>
      <c r="L37" s="18" t="str">
        <f aca="false">IF(K37="","",K37*'Budget du don'!$G$4)</f>
        <v/>
      </c>
      <c r="M37" s="17" t="str">
        <f aca="false">IF(OR(F37="",K37=""),"",F37-K37)</f>
        <v/>
      </c>
      <c r="N37" s="18" t="str">
        <f aca="false">IF(M37="","",M37*'Budget du don'!$G$4)</f>
        <v/>
      </c>
      <c r="O37" s="34" t="str">
        <f aca="false">IF(OR(D37="",D37=0,H37="",AND(I37="",J37="")),"",(IF(I37&lt;&gt;"",I37,J37/'Budget du don'!$G$4)-D37)/D37)</f>
        <v/>
      </c>
      <c r="P37" s="4"/>
    </row>
    <row r="38" customFormat="false" ht="15" hidden="false" customHeight="false" outlineLevel="0" collapsed="false">
      <c r="A38" s="31" t="str">
        <f aca="false">IF('Budget du don'!A38="","",'Budget du don'!A38)</f>
        <v/>
      </c>
      <c r="B38" s="32" t="str">
        <f aca="false">IF(OR('Budget du don'!A38="",'Budget du don'!B38=""),"",'Budget du don'!B38)</f>
        <v/>
      </c>
      <c r="C38" s="33" t="str">
        <f aca="false">IF(OR('Budget du don'!A38="",'Budget du don'!C38=""),"",'Budget du don'!C38)</f>
        <v/>
      </c>
      <c r="D38" s="17" t="str">
        <f aca="false">IF(OR('Budget du don'!A38="",'Budget du don'!F38=""),"",'Budget du don'!F38)</f>
        <v/>
      </c>
      <c r="E38" s="18" t="str">
        <f aca="false">IF(D38="","",D38*'Budget du don'!$G$4)</f>
        <v/>
      </c>
      <c r="F38" s="17" t="str">
        <f aca="false">IF('Budget du don'!H38="","",'Budget du don'!H38)</f>
        <v/>
      </c>
      <c r="G38" s="18" t="str">
        <f aca="false">IF(F38="","",F38*'Budget du don'!$G$4)</f>
        <v/>
      </c>
      <c r="H38" s="14"/>
      <c r="I38" s="15"/>
      <c r="J38" s="16"/>
      <c r="K38" s="19" t="str">
        <f aca="false">IF(OR(H38="",AND(I38="",J38="")),"",H38*IF(I38&lt;&gt;"",I38,J38/'Budget du don'!$G$4))</f>
        <v/>
      </c>
      <c r="L38" s="18" t="str">
        <f aca="false">IF(K38="","",K38*'Budget du don'!$G$4)</f>
        <v/>
      </c>
      <c r="M38" s="17" t="str">
        <f aca="false">IF(OR(F38="",K38=""),"",F38-K38)</f>
        <v/>
      </c>
      <c r="N38" s="18" t="str">
        <f aca="false">IF(M38="","",M38*'Budget du don'!$G$4)</f>
        <v/>
      </c>
      <c r="O38" s="34" t="str">
        <f aca="false">IF(OR(D38="",D38=0,H38="",AND(I38="",J38="")),"",(IF(I38&lt;&gt;"",I38,J38/'Budget du don'!$G$4)-D38)/D38)</f>
        <v/>
      </c>
      <c r="P38" s="4"/>
    </row>
    <row r="39" customFormat="false" ht="15" hidden="false" customHeight="false" outlineLevel="0" collapsed="false">
      <c r="A39" s="31" t="str">
        <f aca="false">IF('Budget du don'!A39="","",'Budget du don'!A39)</f>
        <v/>
      </c>
      <c r="B39" s="32" t="str">
        <f aca="false">IF(OR('Budget du don'!A39="",'Budget du don'!B39=""),"",'Budget du don'!B39)</f>
        <v/>
      </c>
      <c r="C39" s="33" t="str">
        <f aca="false">IF(OR('Budget du don'!A39="",'Budget du don'!C39=""),"",'Budget du don'!C39)</f>
        <v/>
      </c>
      <c r="D39" s="17" t="str">
        <f aca="false">IF(OR('Budget du don'!A39="",'Budget du don'!F39=""),"",'Budget du don'!F39)</f>
        <v/>
      </c>
      <c r="E39" s="18" t="str">
        <f aca="false">IF(D39="","",D39*'Budget du don'!$G$4)</f>
        <v/>
      </c>
      <c r="F39" s="17" t="str">
        <f aca="false">IF('Budget du don'!H39="","",'Budget du don'!H39)</f>
        <v/>
      </c>
      <c r="G39" s="18" t="str">
        <f aca="false">IF(F39="","",F39*'Budget du don'!$G$4)</f>
        <v/>
      </c>
      <c r="H39" s="14"/>
      <c r="I39" s="15"/>
      <c r="J39" s="16"/>
      <c r="K39" s="19" t="str">
        <f aca="false">IF(OR(H39="",AND(I39="",J39="")),"",H39*IF(I39&lt;&gt;"",I39,J39/'Budget du don'!$G$4))</f>
        <v/>
      </c>
      <c r="L39" s="18" t="str">
        <f aca="false">IF(K39="","",K39*'Budget du don'!$G$4)</f>
        <v/>
      </c>
      <c r="M39" s="17" t="str">
        <f aca="false">IF(OR(F39="",K39=""),"",F39-K39)</f>
        <v/>
      </c>
      <c r="N39" s="18" t="str">
        <f aca="false">IF(M39="","",M39*'Budget du don'!$G$4)</f>
        <v/>
      </c>
      <c r="O39" s="34" t="str">
        <f aca="false">IF(OR(D39="",D39=0,H39="",AND(I39="",J39="")),"",(IF(I39&lt;&gt;"",I39,J39/'Budget du don'!$G$4)-D39)/D39)</f>
        <v/>
      </c>
      <c r="P39" s="4"/>
    </row>
    <row r="40" customFormat="false" ht="15" hidden="false" customHeight="false" outlineLevel="0" collapsed="false">
      <c r="A40" s="31" t="str">
        <f aca="false">IF('Budget du don'!A40="","",'Budget du don'!A40)</f>
        <v/>
      </c>
      <c r="B40" s="32" t="str">
        <f aca="false">IF(OR('Budget du don'!A40="",'Budget du don'!B40=""),"",'Budget du don'!B40)</f>
        <v/>
      </c>
      <c r="C40" s="33" t="str">
        <f aca="false">IF(OR('Budget du don'!A40="",'Budget du don'!C40=""),"",'Budget du don'!C40)</f>
        <v/>
      </c>
      <c r="D40" s="17" t="str">
        <f aca="false">IF(OR('Budget du don'!A40="",'Budget du don'!F40=""),"",'Budget du don'!F40)</f>
        <v/>
      </c>
      <c r="E40" s="18" t="str">
        <f aca="false">IF(D40="","",D40*'Budget du don'!$G$4)</f>
        <v/>
      </c>
      <c r="F40" s="17" t="str">
        <f aca="false">IF('Budget du don'!H40="","",'Budget du don'!H40)</f>
        <v/>
      </c>
      <c r="G40" s="18" t="str">
        <f aca="false">IF(F40="","",F40*'Budget du don'!$G$4)</f>
        <v/>
      </c>
      <c r="H40" s="14"/>
      <c r="I40" s="15"/>
      <c r="J40" s="16"/>
      <c r="K40" s="19" t="str">
        <f aca="false">IF(OR(H40="",AND(I40="",J40="")),"",H40*IF(I40&lt;&gt;"",I40,J40/'Budget du don'!$G$4))</f>
        <v/>
      </c>
      <c r="L40" s="18" t="str">
        <f aca="false">IF(K40="","",K40*'Budget du don'!$G$4)</f>
        <v/>
      </c>
      <c r="M40" s="17" t="str">
        <f aca="false">IF(OR(F40="",K40=""),"",F40-K40)</f>
        <v/>
      </c>
      <c r="N40" s="18" t="str">
        <f aca="false">IF(M40="","",M40*'Budget du don'!$G$4)</f>
        <v/>
      </c>
      <c r="O40" s="34" t="str">
        <f aca="false">IF(OR(D40="",D40=0,H40="",AND(I40="",J40="")),"",(IF(I40&lt;&gt;"",I40,J40/'Budget du don'!$G$4)-D40)/D40)</f>
        <v/>
      </c>
      <c r="P40" s="4"/>
    </row>
    <row r="41" customFormat="false" ht="15" hidden="false" customHeight="false" outlineLevel="0" collapsed="false">
      <c r="A41" s="31" t="str">
        <f aca="false">IF('Budget du don'!A41="","",'Budget du don'!A41)</f>
        <v/>
      </c>
      <c r="B41" s="32" t="str">
        <f aca="false">IF(OR('Budget du don'!A41="",'Budget du don'!B41=""),"",'Budget du don'!B41)</f>
        <v/>
      </c>
      <c r="C41" s="33" t="str">
        <f aca="false">IF(OR('Budget du don'!A41="",'Budget du don'!C41=""),"",'Budget du don'!C41)</f>
        <v/>
      </c>
      <c r="D41" s="17" t="str">
        <f aca="false">IF(OR('Budget du don'!A41="",'Budget du don'!F41=""),"",'Budget du don'!F41)</f>
        <v/>
      </c>
      <c r="E41" s="18" t="str">
        <f aca="false">IF(D41="","",D41*'Budget du don'!$G$4)</f>
        <v/>
      </c>
      <c r="F41" s="17" t="str">
        <f aca="false">IF('Budget du don'!H41="","",'Budget du don'!H41)</f>
        <v/>
      </c>
      <c r="G41" s="18" t="str">
        <f aca="false">IF(F41="","",F41*'Budget du don'!$G$4)</f>
        <v/>
      </c>
      <c r="H41" s="14"/>
      <c r="I41" s="15"/>
      <c r="J41" s="16"/>
      <c r="K41" s="19" t="str">
        <f aca="false">IF(OR(H41="",AND(I41="",J41="")),"",H41*IF(I41&lt;&gt;"",I41,J41/'Budget du don'!$G$4))</f>
        <v/>
      </c>
      <c r="L41" s="18" t="str">
        <f aca="false">IF(K41="","",K41*'Budget du don'!$G$4)</f>
        <v/>
      </c>
      <c r="M41" s="17" t="str">
        <f aca="false">IF(OR(F41="",K41=""),"",F41-K41)</f>
        <v/>
      </c>
      <c r="N41" s="18" t="str">
        <f aca="false">IF(M41="","",M41*'Budget du don'!$G$4)</f>
        <v/>
      </c>
      <c r="O41" s="34" t="str">
        <f aca="false">IF(OR(D41="",D41=0,H41="",AND(I41="",J41="")),"",(IF(I41&lt;&gt;"",I41,J41/'Budget du don'!$G$4)-D41)/D41)</f>
        <v/>
      </c>
      <c r="P41" s="4"/>
    </row>
    <row r="42" customFormat="false" ht="15" hidden="false" customHeight="false" outlineLevel="0" collapsed="false">
      <c r="A42" s="31" t="str">
        <f aca="false">IF('Budget du don'!A42="","",'Budget du don'!A42)</f>
        <v/>
      </c>
      <c r="B42" s="32" t="str">
        <f aca="false">IF(OR('Budget du don'!A42="",'Budget du don'!B42=""),"",'Budget du don'!B42)</f>
        <v/>
      </c>
      <c r="C42" s="33" t="str">
        <f aca="false">IF(OR('Budget du don'!A42="",'Budget du don'!C42=""),"",'Budget du don'!C42)</f>
        <v/>
      </c>
      <c r="D42" s="17" t="str">
        <f aca="false">IF(OR('Budget du don'!A42="",'Budget du don'!F42=""),"",'Budget du don'!F42)</f>
        <v/>
      </c>
      <c r="E42" s="18" t="str">
        <f aca="false">IF(D42="","",D42*'Budget du don'!$G$4)</f>
        <v/>
      </c>
      <c r="F42" s="17" t="str">
        <f aca="false">IF('Budget du don'!H42="","",'Budget du don'!H42)</f>
        <v/>
      </c>
      <c r="G42" s="18" t="str">
        <f aca="false">IF(F42="","",F42*'Budget du don'!$G$4)</f>
        <v/>
      </c>
      <c r="H42" s="14"/>
      <c r="I42" s="15"/>
      <c r="J42" s="16"/>
      <c r="K42" s="19" t="str">
        <f aca="false">IF(OR(H42="",AND(I42="",J42="")),"",H42*IF(I42&lt;&gt;"",I42,J42/'Budget du don'!$G$4))</f>
        <v/>
      </c>
      <c r="L42" s="18" t="str">
        <f aca="false">IF(K42="","",K42*'Budget du don'!$G$4)</f>
        <v/>
      </c>
      <c r="M42" s="17" t="str">
        <f aca="false">IF(OR(F42="",K42=""),"",F42-K42)</f>
        <v/>
      </c>
      <c r="N42" s="18" t="str">
        <f aca="false">IF(M42="","",M42*'Budget du don'!$G$4)</f>
        <v/>
      </c>
      <c r="O42" s="34" t="str">
        <f aca="false">IF(OR(D42="",D42=0,H42="",AND(I42="",J42="")),"",(IF(I42&lt;&gt;"",I42,J42/'Budget du don'!$G$4)-D42)/D42)</f>
        <v/>
      </c>
      <c r="P42" s="4"/>
    </row>
    <row r="43" customFormat="false" ht="15" hidden="false" customHeight="false" outlineLevel="0" collapsed="false">
      <c r="A43" s="31" t="str">
        <f aca="false">IF('Budget du don'!A43="","",'Budget du don'!A43)</f>
        <v/>
      </c>
      <c r="B43" s="32" t="str">
        <f aca="false">IF(OR('Budget du don'!A43="",'Budget du don'!B43=""),"",'Budget du don'!B43)</f>
        <v/>
      </c>
      <c r="C43" s="33" t="str">
        <f aca="false">IF(OR('Budget du don'!A43="",'Budget du don'!C43=""),"",'Budget du don'!C43)</f>
        <v/>
      </c>
      <c r="D43" s="17" t="str">
        <f aca="false">IF(OR('Budget du don'!A43="",'Budget du don'!F43=""),"",'Budget du don'!F43)</f>
        <v/>
      </c>
      <c r="E43" s="18" t="str">
        <f aca="false">IF(D43="","",D43*'Budget du don'!$G$4)</f>
        <v/>
      </c>
      <c r="F43" s="17" t="str">
        <f aca="false">IF('Budget du don'!H43="","",'Budget du don'!H43)</f>
        <v/>
      </c>
      <c r="G43" s="18" t="str">
        <f aca="false">IF(F43="","",F43*'Budget du don'!$G$4)</f>
        <v/>
      </c>
      <c r="H43" s="14"/>
      <c r="I43" s="15"/>
      <c r="J43" s="16"/>
      <c r="K43" s="19" t="str">
        <f aca="false">IF(OR(H43="",AND(I43="",J43="")),"",H43*IF(I43&lt;&gt;"",I43,J43/'Budget du don'!$G$4))</f>
        <v/>
      </c>
      <c r="L43" s="18" t="str">
        <f aca="false">IF(K43="","",K43*'Budget du don'!$G$4)</f>
        <v/>
      </c>
      <c r="M43" s="17" t="str">
        <f aca="false">IF(OR(F43="",K43=""),"",F43-K43)</f>
        <v/>
      </c>
      <c r="N43" s="18" t="str">
        <f aca="false">IF(M43="","",M43*'Budget du don'!$G$4)</f>
        <v/>
      </c>
      <c r="O43" s="34" t="str">
        <f aca="false">IF(OR(D43="",D43=0,H43="",AND(I43="",J43="")),"",(IF(I43&lt;&gt;"",I43,J43/'Budget du don'!$G$4)-D43)/D43)</f>
        <v/>
      </c>
      <c r="P43" s="4"/>
    </row>
    <row r="44" customFormat="false" ht="15" hidden="false" customHeight="false" outlineLevel="0" collapsed="false">
      <c r="A44" s="31" t="str">
        <f aca="false">IF('Budget du don'!A44="","",'Budget du don'!A44)</f>
        <v/>
      </c>
      <c r="B44" s="32" t="str">
        <f aca="false">IF(OR('Budget du don'!A44="",'Budget du don'!B44=""),"",'Budget du don'!B44)</f>
        <v/>
      </c>
      <c r="C44" s="33" t="str">
        <f aca="false">IF(OR('Budget du don'!A44="",'Budget du don'!C44=""),"",'Budget du don'!C44)</f>
        <v/>
      </c>
      <c r="D44" s="17" t="str">
        <f aca="false">IF(OR('Budget du don'!A44="",'Budget du don'!F44=""),"",'Budget du don'!F44)</f>
        <v/>
      </c>
      <c r="E44" s="18" t="str">
        <f aca="false">IF(D44="","",D44*'Budget du don'!$G$4)</f>
        <v/>
      </c>
      <c r="F44" s="17" t="str">
        <f aca="false">IF('Budget du don'!H44="","",'Budget du don'!H44)</f>
        <v/>
      </c>
      <c r="G44" s="18" t="str">
        <f aca="false">IF(F44="","",F44*'Budget du don'!$G$4)</f>
        <v/>
      </c>
      <c r="H44" s="14"/>
      <c r="I44" s="15"/>
      <c r="J44" s="16"/>
      <c r="K44" s="19" t="str">
        <f aca="false">IF(OR(H44="",AND(I44="",J44="")),"",H44*IF(I44&lt;&gt;"",I44,J44/'Budget du don'!$G$4))</f>
        <v/>
      </c>
      <c r="L44" s="18" t="str">
        <f aca="false">IF(K44="","",K44*'Budget du don'!$G$4)</f>
        <v/>
      </c>
      <c r="M44" s="17" t="str">
        <f aca="false">IF(OR(F44="",K44=""),"",F44-K44)</f>
        <v/>
      </c>
      <c r="N44" s="18" t="str">
        <f aca="false">IF(M44="","",M44*'Budget du don'!$G$4)</f>
        <v/>
      </c>
      <c r="O44" s="34" t="str">
        <f aca="false">IF(OR(D44="",D44=0,H44="",AND(I44="",J44="")),"",(IF(I44&lt;&gt;"",I44,J44/'Budget du don'!$G$4)-D44)/D44)</f>
        <v/>
      </c>
      <c r="P44" s="4"/>
    </row>
    <row r="45" customFormat="false" ht="15" hidden="false" customHeight="false" outlineLevel="0" collapsed="false">
      <c r="A45" s="31" t="str">
        <f aca="false">IF('Budget du don'!A45="","",'Budget du don'!A45)</f>
        <v/>
      </c>
      <c r="B45" s="32" t="str">
        <f aca="false">IF(OR('Budget du don'!A45="",'Budget du don'!B45=""),"",'Budget du don'!B45)</f>
        <v/>
      </c>
      <c r="C45" s="33" t="str">
        <f aca="false">IF(OR('Budget du don'!A45="",'Budget du don'!C45=""),"",'Budget du don'!C45)</f>
        <v/>
      </c>
      <c r="D45" s="17" t="str">
        <f aca="false">IF(OR('Budget du don'!A45="",'Budget du don'!F45=""),"",'Budget du don'!F45)</f>
        <v/>
      </c>
      <c r="E45" s="18" t="str">
        <f aca="false">IF(D45="","",D45*'Budget du don'!$G$4)</f>
        <v/>
      </c>
      <c r="F45" s="17" t="str">
        <f aca="false">IF('Budget du don'!H45="","",'Budget du don'!H45)</f>
        <v/>
      </c>
      <c r="G45" s="18" t="str">
        <f aca="false">IF(F45="","",F45*'Budget du don'!$G$4)</f>
        <v/>
      </c>
      <c r="H45" s="14"/>
      <c r="I45" s="15"/>
      <c r="J45" s="16"/>
      <c r="K45" s="19" t="str">
        <f aca="false">IF(OR(H45="",AND(I45="",J45="")),"",H45*IF(I45&lt;&gt;"",I45,J45/'Budget du don'!$G$4))</f>
        <v/>
      </c>
      <c r="L45" s="18" t="str">
        <f aca="false">IF(K45="","",K45*'Budget du don'!$G$4)</f>
        <v/>
      </c>
      <c r="M45" s="17" t="str">
        <f aca="false">IF(OR(F45="",K45=""),"",F45-K45)</f>
        <v/>
      </c>
      <c r="N45" s="18" t="str">
        <f aca="false">IF(M45="","",M45*'Budget du don'!$G$4)</f>
        <v/>
      </c>
      <c r="O45" s="34" t="str">
        <f aca="false">IF(OR(D45="",D45=0,H45="",AND(I45="",J45="")),"",(IF(I45&lt;&gt;"",I45,J45/'Budget du don'!$G$4)-D45)/D45)</f>
        <v/>
      </c>
      <c r="P45" s="4"/>
    </row>
    <row r="46" customFormat="false" ht="15" hidden="false" customHeight="false" outlineLevel="0" collapsed="false">
      <c r="A46" s="31" t="str">
        <f aca="false">IF('Budget du don'!A46="","",'Budget du don'!A46)</f>
        <v/>
      </c>
      <c r="B46" s="32" t="str">
        <f aca="false">IF(OR('Budget du don'!A46="",'Budget du don'!B46=""),"",'Budget du don'!B46)</f>
        <v/>
      </c>
      <c r="C46" s="33" t="str">
        <f aca="false">IF(OR('Budget du don'!A46="",'Budget du don'!C46=""),"",'Budget du don'!C46)</f>
        <v/>
      </c>
      <c r="D46" s="17" t="str">
        <f aca="false">IF(OR('Budget du don'!A46="",'Budget du don'!F46=""),"",'Budget du don'!F46)</f>
        <v/>
      </c>
      <c r="E46" s="18" t="str">
        <f aca="false">IF(D46="","",D46*'Budget du don'!$G$4)</f>
        <v/>
      </c>
      <c r="F46" s="17" t="str">
        <f aca="false">IF('Budget du don'!H46="","",'Budget du don'!H46)</f>
        <v/>
      </c>
      <c r="G46" s="18" t="str">
        <f aca="false">IF(F46="","",F46*'Budget du don'!$G$4)</f>
        <v/>
      </c>
      <c r="H46" s="14"/>
      <c r="I46" s="15"/>
      <c r="J46" s="16"/>
      <c r="K46" s="19" t="str">
        <f aca="false">IF(OR(H46="",AND(I46="",J46="")),"",H46*IF(I46&lt;&gt;"",I46,J46/'Budget du don'!$G$4))</f>
        <v/>
      </c>
      <c r="L46" s="18" t="str">
        <f aca="false">IF(K46="","",K46*'Budget du don'!$G$4)</f>
        <v/>
      </c>
      <c r="M46" s="17" t="str">
        <f aca="false">IF(OR(F46="",K46=""),"",F46-K46)</f>
        <v/>
      </c>
      <c r="N46" s="18" t="str">
        <f aca="false">IF(M46="","",M46*'Budget du don'!$G$4)</f>
        <v/>
      </c>
      <c r="O46" s="34" t="str">
        <f aca="false">IF(OR(D46="",D46=0,H46="",AND(I46="",J46="")),"",(IF(I46&lt;&gt;"",I46,J46/'Budget du don'!$G$4)-D46)/D46)</f>
        <v/>
      </c>
      <c r="P46" s="4"/>
    </row>
    <row r="47" customFormat="false" ht="15" hidden="false" customHeight="false" outlineLevel="0" collapsed="false">
      <c r="A47" s="31" t="str">
        <f aca="false">IF('Budget du don'!A47="","",'Budget du don'!A47)</f>
        <v/>
      </c>
      <c r="B47" s="32" t="str">
        <f aca="false">IF(OR('Budget du don'!A47="",'Budget du don'!B47=""),"",'Budget du don'!B47)</f>
        <v/>
      </c>
      <c r="C47" s="33" t="str">
        <f aca="false">IF(OR('Budget du don'!A47="",'Budget du don'!C47=""),"",'Budget du don'!C47)</f>
        <v/>
      </c>
      <c r="D47" s="17" t="str">
        <f aca="false">IF(OR('Budget du don'!A47="",'Budget du don'!F47=""),"",'Budget du don'!F47)</f>
        <v/>
      </c>
      <c r="E47" s="18" t="str">
        <f aca="false">IF(D47="","",D47*'Budget du don'!$G$4)</f>
        <v/>
      </c>
      <c r="F47" s="17" t="str">
        <f aca="false">IF('Budget du don'!H47="","",'Budget du don'!H47)</f>
        <v/>
      </c>
      <c r="G47" s="18" t="str">
        <f aca="false">IF(F47="","",F47*'Budget du don'!$G$4)</f>
        <v/>
      </c>
      <c r="H47" s="14"/>
      <c r="I47" s="15"/>
      <c r="J47" s="16"/>
      <c r="K47" s="19" t="str">
        <f aca="false">IF(OR(H47="",AND(I47="",J47="")),"",H47*IF(I47&lt;&gt;"",I47,J47/'Budget du don'!$G$4))</f>
        <v/>
      </c>
      <c r="L47" s="18" t="str">
        <f aca="false">IF(K47="","",K47*'Budget du don'!$G$4)</f>
        <v/>
      </c>
      <c r="M47" s="17" t="str">
        <f aca="false">IF(OR(F47="",K47=""),"",F47-K47)</f>
        <v/>
      </c>
      <c r="N47" s="18" t="str">
        <f aca="false">IF(M47="","",M47*'Budget du don'!$G$4)</f>
        <v/>
      </c>
      <c r="O47" s="34" t="str">
        <f aca="false">IF(OR(D47="",D47=0,H47="",AND(I47="",J47="")),"",(IF(I47&lt;&gt;"",I47,J47/'Budget du don'!$G$4)-D47)/D47)</f>
        <v/>
      </c>
      <c r="P47" s="4"/>
    </row>
    <row r="48" customFormat="false" ht="15" hidden="false" customHeight="false" outlineLevel="0" collapsed="false">
      <c r="A48" s="31" t="str">
        <f aca="false">IF('Budget du don'!A48="","",'Budget du don'!A48)</f>
        <v/>
      </c>
      <c r="B48" s="32" t="str">
        <f aca="false">IF(OR('Budget du don'!A48="",'Budget du don'!B48=""),"",'Budget du don'!B48)</f>
        <v/>
      </c>
      <c r="C48" s="33" t="str">
        <f aca="false">IF(OR('Budget du don'!A48="",'Budget du don'!C48=""),"",'Budget du don'!C48)</f>
        <v/>
      </c>
      <c r="D48" s="17" t="str">
        <f aca="false">IF(OR('Budget du don'!A48="",'Budget du don'!F48=""),"",'Budget du don'!F48)</f>
        <v/>
      </c>
      <c r="E48" s="18" t="str">
        <f aca="false">IF(D48="","",D48*'Budget du don'!$G$4)</f>
        <v/>
      </c>
      <c r="F48" s="17" t="str">
        <f aca="false">IF('Budget du don'!H48="","",'Budget du don'!H48)</f>
        <v/>
      </c>
      <c r="G48" s="18" t="str">
        <f aca="false">IF(F48="","",F48*'Budget du don'!$G$4)</f>
        <v/>
      </c>
      <c r="H48" s="14"/>
      <c r="I48" s="15"/>
      <c r="J48" s="16"/>
      <c r="K48" s="19" t="str">
        <f aca="false">IF(OR(H48="",AND(I48="",J48="")),"",H48*IF(I48&lt;&gt;"",I48,J48/'Budget du don'!$G$4))</f>
        <v/>
      </c>
      <c r="L48" s="18" t="str">
        <f aca="false">IF(K48="","",K48*'Budget du don'!$G$4)</f>
        <v/>
      </c>
      <c r="M48" s="17" t="str">
        <f aca="false">IF(OR(F48="",K48=""),"",F48-K48)</f>
        <v/>
      </c>
      <c r="N48" s="18" t="str">
        <f aca="false">IF(M48="","",M48*'Budget du don'!$G$4)</f>
        <v/>
      </c>
      <c r="O48" s="34" t="str">
        <f aca="false">IF(OR(D48="",D48=0,H48="",AND(I48="",J48="")),"",(IF(I48&lt;&gt;"",I48,J48/'Budget du don'!$G$4)-D48)/D48)</f>
        <v/>
      </c>
      <c r="P48" s="4"/>
    </row>
    <row r="49" customFormat="false" ht="21.75" hidden="false" customHeight="true" outlineLevel="0" collapsed="false">
      <c r="A49" s="35" t="s">
        <v>61</v>
      </c>
      <c r="B49" s="36"/>
      <c r="C49" s="36"/>
      <c r="D49" s="36"/>
      <c r="E49" s="36"/>
      <c r="F49" s="37" t="n">
        <f aca="false">SUM(F9:F48)</f>
        <v>182.938820684892</v>
      </c>
      <c r="G49" s="38" t="n">
        <f aca="false">SUM(G9:G48)</f>
        <v>120000</v>
      </c>
      <c r="H49" s="36"/>
      <c r="I49" s="36"/>
      <c r="J49" s="36"/>
      <c r="K49" s="37" t="n">
        <f aca="false">SUM(K9:K48)</f>
        <v>195.134742063885</v>
      </c>
      <c r="L49" s="38" t="n">
        <f aca="false">SUM(L9:L48)</f>
        <v>128000</v>
      </c>
      <c r="M49" s="37" t="n">
        <f aca="false">SUM(M9:M48)</f>
        <v>-12.1959213789929</v>
      </c>
      <c r="N49" s="38" t="n">
        <f aca="false">SUM(N9:N48)</f>
        <v>-8000.00000000002</v>
      </c>
      <c r="O49" s="39" t="n">
        <f aca="false">IF(SUM(F9:F48)=0,"",(SUM(K9:K48)-SUM(F9:F48))/SUM(F9:F48))</f>
        <v>0.0666666666666669</v>
      </c>
      <c r="P49" s="36"/>
    </row>
  </sheetData>
  <mergeCells count="17">
    <mergeCell ref="A1:P1"/>
    <mergeCell ref="A2:P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7:G7"/>
    <mergeCell ref="H7:L7"/>
    <mergeCell ref="M7:P7"/>
  </mergeCells>
  <conditionalFormatting sqref="M9:M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N9:N48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1">
      <formula>0</formula>
    </cfRule>
  </conditionalFormatting>
  <conditionalFormatting sqref="O9:O48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27.75" hidden="false" customHeight="true" outlineLevel="0" collapsed="false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7.75" hidden="false" customHeight="true" outlineLevel="0" collapsed="false">
      <c r="A2" s="2" t="s">
        <v>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s">
        <v>64</v>
      </c>
      <c r="B3" s="40" t="n">
        <v>2026</v>
      </c>
    </row>
    <row r="5" customFormat="false" ht="18" hidden="false" customHeight="true" outlineLevel="0" collapsed="false">
      <c r="B5" s="28" t="s">
        <v>65</v>
      </c>
      <c r="C5" s="28"/>
      <c r="D5" s="28"/>
      <c r="E5" s="28"/>
      <c r="F5" s="29" t="s">
        <v>66</v>
      </c>
      <c r="G5" s="29"/>
      <c r="H5" s="29"/>
      <c r="I5" s="29"/>
      <c r="J5" s="30" t="s">
        <v>67</v>
      </c>
      <c r="K5" s="30"/>
      <c r="L5" s="30"/>
    </row>
    <row r="7" customFormat="false" ht="27.75" hidden="false" customHeight="true" outlineLevel="0" collapsed="false">
      <c r="A7" s="12" t="s">
        <v>68</v>
      </c>
      <c r="B7" s="12" t="s">
        <v>69</v>
      </c>
      <c r="C7" s="12" t="s">
        <v>70</v>
      </c>
      <c r="D7" s="12" t="s">
        <v>71</v>
      </c>
      <c r="E7" s="12" t="s">
        <v>72</v>
      </c>
      <c r="F7" s="12" t="s">
        <v>69</v>
      </c>
      <c r="G7" s="12" t="s">
        <v>70</v>
      </c>
      <c r="H7" s="12" t="s">
        <v>73</v>
      </c>
      <c r="I7" s="12" t="s">
        <v>74</v>
      </c>
      <c r="J7" s="12" t="s">
        <v>56</v>
      </c>
      <c r="K7" s="12" t="s">
        <v>57</v>
      </c>
      <c r="L7" s="12" t="s">
        <v>75</v>
      </c>
    </row>
    <row r="8" customFormat="false" ht="15" hidden="false" customHeight="false" outlineLevel="0" collapsed="false">
      <c r="A8" s="4" t="s">
        <v>76</v>
      </c>
      <c r="B8" s="15" t="n">
        <v>1500</v>
      </c>
      <c r="C8" s="16"/>
      <c r="D8" s="19" t="n">
        <f aca="false">IF(AND(B8="",C8=""),"",IF(B8&lt;&gt;"",B8,C8/'Budget du don'!$G$4))</f>
        <v>1500</v>
      </c>
      <c r="E8" s="18" t="n">
        <f aca="false">IF(D8="","",D8*'Budget du don'!$G$4)</f>
        <v>983935.5</v>
      </c>
      <c r="F8" s="15"/>
      <c r="G8" s="16"/>
      <c r="H8" s="19" t="str">
        <f aca="false">IF(AND(F8="",G8=""),"",IF(F8&lt;&gt;"",F8,G8/'Budget du don'!$G$4))</f>
        <v/>
      </c>
      <c r="I8" s="18" t="str">
        <f aca="false">IF(H8="","",H8*'Budget du don'!$G$4)</f>
        <v/>
      </c>
      <c r="J8" s="17" t="n">
        <f aca="false">IF(OR(A8="",D8=""),"",D8-IF(H8="",0,H8))</f>
        <v>1500</v>
      </c>
      <c r="K8" s="18" t="n">
        <f aca="false">IF(J8="","",J8*'Budget du don'!$G$4)</f>
        <v>983935.5</v>
      </c>
      <c r="L8" s="41" t="n">
        <f aca="false">IF(OR(A8="",D8="",D8=0),"",IF(H8="",0,H8)/D8)</f>
        <v>0</v>
      </c>
    </row>
    <row r="9" customFormat="false" ht="15" hidden="false" customHeight="false" outlineLevel="0" collapsed="false">
      <c r="A9" s="4" t="s">
        <v>77</v>
      </c>
      <c r="B9" s="15" t="n">
        <v>300</v>
      </c>
      <c r="C9" s="16"/>
      <c r="D9" s="19" t="n">
        <f aca="false">IF(AND(B9="",C9=""),"",IF(B9&lt;&gt;"",B9,C9/'Budget du don'!$G$4))</f>
        <v>300</v>
      </c>
      <c r="E9" s="18" t="n">
        <f aca="false">IF(D9="","",D9*'Budget du don'!$G$4)</f>
        <v>196787.1</v>
      </c>
      <c r="F9" s="15"/>
      <c r="G9" s="16"/>
      <c r="H9" s="19" t="str">
        <f aca="false">IF(AND(F9="",G9=""),"",IF(F9&lt;&gt;"",F9,G9/'Budget du don'!$G$4))</f>
        <v/>
      </c>
      <c r="I9" s="18" t="str">
        <f aca="false">IF(H9="","",H9*'Budget du don'!$G$4)</f>
        <v/>
      </c>
      <c r="J9" s="17" t="n">
        <f aca="false">IF(OR(A9="",D9=""),"",D9-IF(H9="",0,H9))</f>
        <v>300</v>
      </c>
      <c r="K9" s="18" t="n">
        <f aca="false">IF(J9="","",J9*'Budget du don'!$G$4)</f>
        <v>196787.1</v>
      </c>
      <c r="L9" s="41" t="n">
        <f aca="false">IF(OR(A9="",D9="",D9=0),"",IF(H9="",0,H9)/D9)</f>
        <v>0</v>
      </c>
    </row>
    <row r="10" customFormat="false" ht="15" hidden="false" customHeight="false" outlineLevel="0" collapsed="false">
      <c r="A10" s="4" t="s">
        <v>78</v>
      </c>
      <c r="B10" s="15" t="n">
        <v>200</v>
      </c>
      <c r="C10" s="16"/>
      <c r="D10" s="19" t="n">
        <f aca="false">IF(AND(B10="",C10=""),"",IF(B10&lt;&gt;"",B10,C10/'Budget du don'!$G$4))</f>
        <v>200</v>
      </c>
      <c r="E10" s="18" t="n">
        <f aca="false">IF(D10="","",D10*'Budget du don'!$G$4)</f>
        <v>131191.4</v>
      </c>
      <c r="F10" s="15"/>
      <c r="G10" s="16"/>
      <c r="H10" s="19" t="str">
        <f aca="false">IF(AND(F10="",G10=""),"",IF(F10&lt;&gt;"",F10,G10/'Budget du don'!$G$4))</f>
        <v/>
      </c>
      <c r="I10" s="18" t="str">
        <f aca="false">IF(H10="","",H10*'Budget du don'!$G$4)</f>
        <v/>
      </c>
      <c r="J10" s="17" t="n">
        <f aca="false">IF(OR(A10="",D10=""),"",D10-IF(H10="",0,H10))</f>
        <v>200</v>
      </c>
      <c r="K10" s="18" t="n">
        <f aca="false">IF(J10="","",J10*'Budget du don'!$G$4)</f>
        <v>131191.4</v>
      </c>
      <c r="L10" s="41" t="n">
        <f aca="false">IF(OR(A10="",D10="",D10=0),"",IF(H10="",0,H10)/D10)</f>
        <v>0</v>
      </c>
    </row>
    <row r="11" customFormat="false" ht="15" hidden="false" customHeight="false" outlineLevel="0" collapsed="false">
      <c r="A11" s="4" t="s">
        <v>79</v>
      </c>
      <c r="B11" s="15" t="n">
        <v>100</v>
      </c>
      <c r="C11" s="16"/>
      <c r="D11" s="19" t="n">
        <f aca="false">IF(AND(B11="",C11=""),"",IF(B11&lt;&gt;"",B11,C11/'Budget du don'!$G$4))</f>
        <v>100</v>
      </c>
      <c r="E11" s="18" t="n">
        <f aca="false">IF(D11="","",D11*'Budget du don'!$G$4)</f>
        <v>65595.7</v>
      </c>
      <c r="F11" s="15"/>
      <c r="G11" s="16"/>
      <c r="H11" s="19" t="str">
        <f aca="false">IF(AND(F11="",G11=""),"",IF(F11&lt;&gt;"",F11,G11/'Budget du don'!$G$4))</f>
        <v/>
      </c>
      <c r="I11" s="18" t="str">
        <f aca="false">IF(H11="","",H11*'Budget du don'!$G$4)</f>
        <v/>
      </c>
      <c r="J11" s="17" t="n">
        <f aca="false">IF(OR(A11="",D11=""),"",D11-IF(H11="",0,H11))</f>
        <v>100</v>
      </c>
      <c r="K11" s="18" t="n">
        <f aca="false">IF(J11="","",J11*'Budget du don'!$G$4)</f>
        <v>65595.7</v>
      </c>
      <c r="L11" s="41" t="n">
        <f aca="false">IF(OR(A11="",D11="",D11=0),"",IF(H11="",0,H11)/D11)</f>
        <v>0</v>
      </c>
    </row>
    <row r="12" customFormat="false" ht="15" hidden="false" customHeight="false" outlineLevel="0" collapsed="false">
      <c r="A12" s="4"/>
      <c r="B12" s="15"/>
      <c r="C12" s="16"/>
      <c r="D12" s="19" t="str">
        <f aca="false">IF(AND(B12="",C12=""),"",IF(B12&lt;&gt;"",B12,C12/'Budget du don'!$G$4))</f>
        <v/>
      </c>
      <c r="E12" s="18" t="str">
        <f aca="false">IF(D12="","",D12*'Budget du don'!$G$4)</f>
        <v/>
      </c>
      <c r="F12" s="15"/>
      <c r="G12" s="16"/>
      <c r="H12" s="19" t="str">
        <f aca="false">IF(AND(F12="",G12=""),"",IF(F12&lt;&gt;"",F12,G12/'Budget du don'!$G$4))</f>
        <v/>
      </c>
      <c r="I12" s="18" t="str">
        <f aca="false">IF(H12="","",H12*'Budget du don'!$G$4)</f>
        <v/>
      </c>
      <c r="J12" s="17" t="str">
        <f aca="false">IF(OR(A12="",D12=""),"",D12-IF(H12="",0,H12))</f>
        <v/>
      </c>
      <c r="K12" s="18" t="str">
        <f aca="false">IF(J12="","",J12*'Budget du don'!$G$4)</f>
        <v/>
      </c>
      <c r="L12" s="41" t="str">
        <f aca="false">IF(OR(A12="",D12="",D12=0),"",IF(H12="",0,H12)/D12)</f>
        <v/>
      </c>
    </row>
    <row r="13" customFormat="false" ht="15" hidden="false" customHeight="false" outlineLevel="0" collapsed="false">
      <c r="A13" s="4"/>
      <c r="B13" s="15"/>
      <c r="C13" s="16"/>
      <c r="D13" s="19" t="str">
        <f aca="false">IF(AND(B13="",C13=""),"",IF(B13&lt;&gt;"",B13,C13/'Budget du don'!$G$4))</f>
        <v/>
      </c>
      <c r="E13" s="18" t="str">
        <f aca="false">IF(D13="","",D13*'Budget du don'!$G$4)</f>
        <v/>
      </c>
      <c r="F13" s="15"/>
      <c r="G13" s="16"/>
      <c r="H13" s="19" t="str">
        <f aca="false">IF(AND(F13="",G13=""),"",IF(F13&lt;&gt;"",F13,G13/'Budget du don'!$G$4))</f>
        <v/>
      </c>
      <c r="I13" s="18" t="str">
        <f aca="false">IF(H13="","",H13*'Budget du don'!$G$4)</f>
        <v/>
      </c>
      <c r="J13" s="17" t="str">
        <f aca="false">IF(OR(A13="",D13=""),"",D13-IF(H13="",0,H13))</f>
        <v/>
      </c>
      <c r="K13" s="18" t="str">
        <f aca="false">IF(J13="","",J13*'Budget du don'!$G$4)</f>
        <v/>
      </c>
      <c r="L13" s="41" t="str">
        <f aca="false">IF(OR(A13="",D13="",D13=0),"",IF(H13="",0,H13)/D13)</f>
        <v/>
      </c>
    </row>
    <row r="14" customFormat="false" ht="15" hidden="false" customHeight="false" outlineLevel="0" collapsed="false">
      <c r="A14" s="4"/>
      <c r="B14" s="15"/>
      <c r="C14" s="16"/>
      <c r="D14" s="19" t="str">
        <f aca="false">IF(AND(B14="",C14=""),"",IF(B14&lt;&gt;"",B14,C14/'Budget du don'!$G$4))</f>
        <v/>
      </c>
      <c r="E14" s="18" t="str">
        <f aca="false">IF(D14="","",D14*'Budget du don'!$G$4)</f>
        <v/>
      </c>
      <c r="F14" s="15"/>
      <c r="G14" s="16"/>
      <c r="H14" s="19" t="str">
        <f aca="false">IF(AND(F14="",G14=""),"",IF(F14&lt;&gt;"",F14,G14/'Budget du don'!$G$4))</f>
        <v/>
      </c>
      <c r="I14" s="18" t="str">
        <f aca="false">IF(H14="","",H14*'Budget du don'!$G$4)</f>
        <v/>
      </c>
      <c r="J14" s="17" t="str">
        <f aca="false">IF(OR(A14="",D14=""),"",D14-IF(H14="",0,H14))</f>
        <v/>
      </c>
      <c r="K14" s="18" t="str">
        <f aca="false">IF(J14="","",J14*'Budget du don'!$G$4)</f>
        <v/>
      </c>
      <c r="L14" s="41" t="str">
        <f aca="false">IF(OR(A14="",D14="",D14=0),"",IF(H14="",0,H14)/D14)</f>
        <v/>
      </c>
    </row>
    <row r="15" customFormat="false" ht="15" hidden="false" customHeight="false" outlineLevel="0" collapsed="false">
      <c r="A15" s="4"/>
      <c r="B15" s="15"/>
      <c r="C15" s="16"/>
      <c r="D15" s="19" t="str">
        <f aca="false">IF(AND(B15="",C15=""),"",IF(B15&lt;&gt;"",B15,C15/'Budget du don'!$G$4))</f>
        <v/>
      </c>
      <c r="E15" s="18" t="str">
        <f aca="false">IF(D15="","",D15*'Budget du don'!$G$4)</f>
        <v/>
      </c>
      <c r="F15" s="15"/>
      <c r="G15" s="16"/>
      <c r="H15" s="19" t="str">
        <f aca="false">IF(AND(F15="",G15=""),"",IF(F15&lt;&gt;"",F15,G15/'Budget du don'!$G$4))</f>
        <v/>
      </c>
      <c r="I15" s="18" t="str">
        <f aca="false">IF(H15="","",H15*'Budget du don'!$G$4)</f>
        <v/>
      </c>
      <c r="J15" s="17" t="str">
        <f aca="false">IF(OR(A15="",D15=""),"",D15-IF(H15="",0,H15))</f>
        <v/>
      </c>
      <c r="K15" s="18" t="str">
        <f aca="false">IF(J15="","",J15*'Budget du don'!$G$4)</f>
        <v/>
      </c>
      <c r="L15" s="41" t="str">
        <f aca="false">IF(OR(A15="",D15="",D15=0),"",IF(H15="",0,H15)/D15)</f>
        <v/>
      </c>
    </row>
    <row r="16" customFormat="false" ht="15" hidden="false" customHeight="false" outlineLevel="0" collapsed="false">
      <c r="A16" s="4"/>
      <c r="B16" s="15"/>
      <c r="C16" s="16"/>
      <c r="D16" s="19" t="str">
        <f aca="false">IF(AND(B16="",C16=""),"",IF(B16&lt;&gt;"",B16,C16/'Budget du don'!$G$4))</f>
        <v/>
      </c>
      <c r="E16" s="18" t="str">
        <f aca="false">IF(D16="","",D16*'Budget du don'!$G$4)</f>
        <v/>
      </c>
      <c r="F16" s="15"/>
      <c r="G16" s="16"/>
      <c r="H16" s="19" t="str">
        <f aca="false">IF(AND(F16="",G16=""),"",IF(F16&lt;&gt;"",F16,G16/'Budget du don'!$G$4))</f>
        <v/>
      </c>
      <c r="I16" s="18" t="str">
        <f aca="false">IF(H16="","",H16*'Budget du don'!$G$4)</f>
        <v/>
      </c>
      <c r="J16" s="17" t="str">
        <f aca="false">IF(OR(A16="",D16=""),"",D16-IF(H16="",0,H16))</f>
        <v/>
      </c>
      <c r="K16" s="18" t="str">
        <f aca="false">IF(J16="","",J16*'Budget du don'!$G$4)</f>
        <v/>
      </c>
      <c r="L16" s="41" t="str">
        <f aca="false">IF(OR(A16="",D16="",D16=0),"",IF(H16="",0,H16)/D16)</f>
        <v/>
      </c>
    </row>
    <row r="17" customFormat="false" ht="15" hidden="false" customHeight="false" outlineLevel="0" collapsed="false">
      <c r="A17" s="4"/>
      <c r="B17" s="15"/>
      <c r="C17" s="16"/>
      <c r="D17" s="19" t="str">
        <f aca="false">IF(AND(B17="",C17=""),"",IF(B17&lt;&gt;"",B17,C17/'Budget du don'!$G$4))</f>
        <v/>
      </c>
      <c r="E17" s="18" t="str">
        <f aca="false">IF(D17="","",D17*'Budget du don'!$G$4)</f>
        <v/>
      </c>
      <c r="F17" s="15"/>
      <c r="G17" s="16"/>
      <c r="H17" s="19" t="str">
        <f aca="false">IF(AND(F17="",G17=""),"",IF(F17&lt;&gt;"",F17,G17/'Budget du don'!$G$4))</f>
        <v/>
      </c>
      <c r="I17" s="18" t="str">
        <f aca="false">IF(H17="","",H17*'Budget du don'!$G$4)</f>
        <v/>
      </c>
      <c r="J17" s="17" t="str">
        <f aca="false">IF(OR(A17="",D17=""),"",D17-IF(H17="",0,H17))</f>
        <v/>
      </c>
      <c r="K17" s="18" t="str">
        <f aca="false">IF(J17="","",J17*'Budget du don'!$G$4)</f>
        <v/>
      </c>
      <c r="L17" s="41" t="str">
        <f aca="false">IF(OR(A17="",D17="",D17=0),"",IF(H17="",0,H17)/D17)</f>
        <v/>
      </c>
    </row>
    <row r="18" customFormat="false" ht="21.75" hidden="false" customHeight="true" outlineLevel="0" collapsed="false">
      <c r="A18" s="20" t="s">
        <v>61</v>
      </c>
      <c r="B18" s="21"/>
      <c r="C18" s="21"/>
      <c r="D18" s="22" t="n">
        <f aca="false">SUM(D8:D17)</f>
        <v>2100</v>
      </c>
      <c r="E18" s="23" t="n">
        <f aca="false">SUM(E8:E17)</f>
        <v>1377509.7</v>
      </c>
      <c r="F18" s="21"/>
      <c r="G18" s="21"/>
      <c r="H18" s="22" t="n">
        <f aca="false">SUM(H8:H17)</f>
        <v>0</v>
      </c>
      <c r="I18" s="23" t="n">
        <f aca="false">SUM(I8:I17)</f>
        <v>0</v>
      </c>
      <c r="J18" s="22" t="n">
        <f aca="false">SUM(J8:J17)</f>
        <v>2100</v>
      </c>
      <c r="K18" s="23" t="n">
        <f aca="false">SUM(K8:K17)</f>
        <v>1377509.7</v>
      </c>
      <c r="L18" s="42" t="n">
        <f aca="false">IF(D18=0,"",H18/D18)</f>
        <v>0</v>
      </c>
    </row>
  </sheetData>
  <mergeCells count="5">
    <mergeCell ref="A1:L1"/>
    <mergeCell ref="A2:L2"/>
    <mergeCell ref="B5:E5"/>
    <mergeCell ref="F5:I5"/>
    <mergeCell ref="J5:L5"/>
  </mergeCells>
  <conditionalFormatting sqref="L8:L17">
    <cfRule type="cellIs" priority="2" operator="greaterThan" aboveAverage="0" equalAverage="0" bottom="0" percent="0" rank="0" text="" dxfId="0">
      <formula>1</formula>
    </cfRule>
    <cfRule type="dataBar" priority="3">
      <dataBar showValue="1" minLength="10" maxLength="90">
        <cfvo type="num" val="0"/>
        <cfvo type="num" val="1"/>
        <color rgb="FF45B84B"/>
      </dataBar>
      <extLst>
        <ext xmlns:x14="http://schemas.microsoft.com/office/spreadsheetml/2009/9/main" uri="{B025F937-C7B1-47D3-B67F-A62EFF666E3E}">
          <x14:id>{A09BB63F-9A53-4485-88A4-14EA103E1FB4}</x14:id>
        </ext>
      </extLst>
    </cfRule>
  </conditionalFormatting>
  <conditionalFormatting sqref="J8:J17">
    <cfRule type="cellIs" priority="4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9BB63F-9A53-4485-88A4-14EA103E1FB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5B84B"/>
              <x14:axisColor rgb="FF000000"/>
            </x14:dataBar>
          </x14:cfRule>
          <xm:sqref>L8:L17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6" min="3" style="0" width="13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81</v>
      </c>
      <c r="B2" s="2"/>
      <c r="C2" s="2"/>
      <c r="D2" s="2"/>
      <c r="E2" s="2"/>
      <c r="F2" s="2"/>
      <c r="G2" s="2"/>
      <c r="H2" s="2"/>
    </row>
    <row r="5" customFormat="false" ht="27.75" hidden="false" customHeight="true" outlineLevel="0" collapsed="false">
      <c r="A5" s="12" t="s">
        <v>45</v>
      </c>
      <c r="B5" s="12" t="s">
        <v>12</v>
      </c>
      <c r="C5" s="43" t="s">
        <v>3</v>
      </c>
      <c r="D5" s="43" t="s">
        <v>82</v>
      </c>
      <c r="E5" s="43" t="s">
        <v>83</v>
      </c>
      <c r="F5" s="43" t="s">
        <v>84</v>
      </c>
      <c r="G5" s="12" t="s">
        <v>85</v>
      </c>
      <c r="H5" s="12" t="s">
        <v>86</v>
      </c>
    </row>
    <row r="6" customFormat="false" ht="15" hidden="false" customHeight="false" outlineLevel="0" collapsed="false">
      <c r="A6" s="4" t="s">
        <v>20</v>
      </c>
      <c r="B6" s="13" t="s">
        <v>21</v>
      </c>
      <c r="C6" s="44" t="n">
        <v>12000</v>
      </c>
      <c r="D6" s="44" t="n">
        <v>12800</v>
      </c>
      <c r="E6" s="44"/>
      <c r="F6" s="44"/>
      <c r="G6" s="45" t="n">
        <f aca="false">IF(C6="","",IF(F6&lt;&gt;"",(F6-C6)/C6,IF(E6&lt;&gt;"",(E6-C6)/C6,IF(D6&lt;&gt;"",(D6-C6)/C6,""))))</f>
        <v>0.0666666666666667</v>
      </c>
      <c r="H6" s="4"/>
    </row>
    <row r="7" customFormat="false" ht="15" hidden="false" customHeight="false" outlineLevel="0" collapsed="false">
      <c r="A7" s="4" t="s">
        <v>22</v>
      </c>
      <c r="B7" s="13" t="s">
        <v>23</v>
      </c>
      <c r="C7" s="44"/>
      <c r="D7" s="44"/>
      <c r="E7" s="44"/>
      <c r="F7" s="44"/>
      <c r="G7" s="45" t="str">
        <f aca="false">IF(C7="","",IF(F7&lt;&gt;"",(F7-C7)/C7,IF(E7&lt;&gt;"",(E7-C7)/C7,IF(D7&lt;&gt;"",(D7-C7)/C7,""))))</f>
        <v/>
      </c>
      <c r="H7" s="4"/>
    </row>
    <row r="8" customFormat="false" ht="15" hidden="false" customHeight="false" outlineLevel="0" collapsed="false">
      <c r="A8" s="4" t="s">
        <v>24</v>
      </c>
      <c r="B8" s="13" t="s">
        <v>23</v>
      </c>
      <c r="C8" s="44"/>
      <c r="D8" s="44"/>
      <c r="E8" s="44"/>
      <c r="F8" s="44"/>
      <c r="G8" s="45" t="str">
        <f aca="false">IF(C8="","",IF(F8&lt;&gt;"",(F8-C8)/C8,IF(E8&lt;&gt;"",(E8-C8)/C8,IF(D8&lt;&gt;"",(D8-C8)/C8,""))))</f>
        <v/>
      </c>
      <c r="H8" s="4"/>
    </row>
    <row r="9" customFormat="false" ht="15" hidden="false" customHeight="false" outlineLevel="0" collapsed="false">
      <c r="A9" s="4" t="s">
        <v>25</v>
      </c>
      <c r="B9" s="13" t="s">
        <v>23</v>
      </c>
      <c r="C9" s="44"/>
      <c r="D9" s="44"/>
      <c r="E9" s="44"/>
      <c r="F9" s="44"/>
      <c r="G9" s="45" t="str">
        <f aca="false">IF(C9="","",IF(F9&lt;&gt;"",(F9-C9)/C9,IF(E9&lt;&gt;"",(E9-C9)/C9,IF(D9&lt;&gt;"",(D9-C9)/C9,""))))</f>
        <v/>
      </c>
      <c r="H9" s="4"/>
    </row>
    <row r="10" customFormat="false" ht="15" hidden="false" customHeight="false" outlineLevel="0" collapsed="false">
      <c r="A10" s="4" t="s">
        <v>26</v>
      </c>
      <c r="B10" s="13" t="s">
        <v>27</v>
      </c>
      <c r="C10" s="44"/>
      <c r="D10" s="44"/>
      <c r="E10" s="44"/>
      <c r="F10" s="44"/>
      <c r="G10" s="45" t="str">
        <f aca="false">IF(C10="","",IF(F10&lt;&gt;"",(F10-C10)/C10,IF(E10&lt;&gt;"",(E10-C10)/C10,IF(D10&lt;&gt;"",(D10-C10)/C10,""))))</f>
        <v/>
      </c>
      <c r="H10" s="4"/>
    </row>
    <row r="11" customFormat="false" ht="15" hidden="false" customHeight="false" outlineLevel="0" collapsed="false">
      <c r="A11" s="4" t="s">
        <v>28</v>
      </c>
      <c r="B11" s="13" t="s">
        <v>29</v>
      </c>
      <c r="C11" s="44"/>
      <c r="D11" s="44"/>
      <c r="E11" s="44"/>
      <c r="F11" s="44"/>
      <c r="G11" s="45" t="str">
        <f aca="false">IF(C11="","",IF(F11&lt;&gt;"",(F11-C11)/C11,IF(E11&lt;&gt;"",(E11-C11)/C11,IF(D11&lt;&gt;"",(D11-C11)/C11,""))))</f>
        <v/>
      </c>
      <c r="H11" s="4"/>
    </row>
    <row r="12" customFormat="false" ht="15" hidden="false" customHeight="false" outlineLevel="0" collapsed="false">
      <c r="A12" s="4" t="s">
        <v>30</v>
      </c>
      <c r="B12" s="13" t="s">
        <v>23</v>
      </c>
      <c r="C12" s="44"/>
      <c r="D12" s="44"/>
      <c r="E12" s="44"/>
      <c r="F12" s="44"/>
      <c r="G12" s="45" t="str">
        <f aca="false">IF(C12="","",IF(F12&lt;&gt;"",(F12-C12)/C12,IF(E12&lt;&gt;"",(E12-C12)/C12,IF(D12&lt;&gt;"",(D12-C12)/C12,""))))</f>
        <v/>
      </c>
      <c r="H12" s="4"/>
    </row>
    <row r="13" customFormat="false" ht="15" hidden="false" customHeight="false" outlineLevel="0" collapsed="false">
      <c r="A13" s="4"/>
      <c r="B13" s="13"/>
      <c r="C13" s="44"/>
      <c r="D13" s="44"/>
      <c r="E13" s="44"/>
      <c r="F13" s="44"/>
      <c r="G13" s="45" t="str">
        <f aca="false">IF(C13="","",IF(F13&lt;&gt;"",(F13-C13)/C13,IF(E13&lt;&gt;"",(E13-C13)/C13,IF(D13&lt;&gt;"",(D13-C13)/C13,""))))</f>
        <v/>
      </c>
      <c r="H13" s="4"/>
    </row>
    <row r="14" customFormat="false" ht="15" hidden="false" customHeight="false" outlineLevel="0" collapsed="false">
      <c r="A14" s="4"/>
      <c r="B14" s="13"/>
      <c r="C14" s="44"/>
      <c r="D14" s="44"/>
      <c r="E14" s="44"/>
      <c r="F14" s="44"/>
      <c r="G14" s="45" t="str">
        <f aca="false">IF(C14="","",IF(F14&lt;&gt;"",(F14-C14)/C14,IF(E14&lt;&gt;"",(E14-C14)/C14,IF(D14&lt;&gt;"",(D14-C14)/C14,""))))</f>
        <v/>
      </c>
      <c r="H14" s="4"/>
    </row>
    <row r="15" customFormat="false" ht="15" hidden="false" customHeight="false" outlineLevel="0" collapsed="false">
      <c r="A15" s="4"/>
      <c r="B15" s="13"/>
      <c r="C15" s="44"/>
      <c r="D15" s="44"/>
      <c r="E15" s="44"/>
      <c r="F15" s="44"/>
      <c r="G15" s="45" t="str">
        <f aca="false">IF(C15="","",IF(F15&lt;&gt;"",(F15-C15)/C15,IF(E15&lt;&gt;"",(E15-C15)/C15,IF(D15&lt;&gt;"",(D15-C15)/C15,""))))</f>
        <v/>
      </c>
      <c r="H15" s="4"/>
    </row>
    <row r="16" customFormat="false" ht="15" hidden="false" customHeight="false" outlineLevel="0" collapsed="false">
      <c r="A16" s="4"/>
      <c r="B16" s="13"/>
      <c r="C16" s="44"/>
      <c r="D16" s="44"/>
      <c r="E16" s="44"/>
      <c r="F16" s="44"/>
      <c r="G16" s="45" t="str">
        <f aca="false">IF(C16="","",IF(F16&lt;&gt;"",(F16-C16)/C16,IF(E16&lt;&gt;"",(E16-C16)/C16,IF(D16&lt;&gt;"",(D16-C16)/C16,""))))</f>
        <v/>
      </c>
      <c r="H16" s="4"/>
    </row>
    <row r="17" customFormat="false" ht="15" hidden="false" customHeight="false" outlineLevel="0" collapsed="false">
      <c r="A17" s="4"/>
      <c r="B17" s="13"/>
      <c r="C17" s="44"/>
      <c r="D17" s="44"/>
      <c r="E17" s="44"/>
      <c r="F17" s="44"/>
      <c r="G17" s="45" t="str">
        <f aca="false">IF(C17="","",IF(F17&lt;&gt;"",(F17-C17)/C17,IF(E17&lt;&gt;"",(E17-C17)/C17,IF(D17&lt;&gt;"",(D17-C17)/C17,""))))</f>
        <v/>
      </c>
      <c r="H17" s="4"/>
    </row>
    <row r="18" customFormat="false" ht="15" hidden="false" customHeight="false" outlineLevel="0" collapsed="false">
      <c r="A18" s="4"/>
      <c r="B18" s="13"/>
      <c r="C18" s="44"/>
      <c r="D18" s="44"/>
      <c r="E18" s="44"/>
      <c r="F18" s="44"/>
      <c r="G18" s="45" t="str">
        <f aca="false">IF(C18="","",IF(F18&lt;&gt;"",(F18-C18)/C18,IF(E18&lt;&gt;"",(E18-C18)/C18,IF(D18&lt;&gt;"",(D18-C18)/C18,""))))</f>
        <v/>
      </c>
      <c r="H18" s="4"/>
    </row>
    <row r="19" customFormat="false" ht="15" hidden="false" customHeight="false" outlineLevel="0" collapsed="false">
      <c r="A19" s="4"/>
      <c r="B19" s="13"/>
      <c r="C19" s="44"/>
      <c r="D19" s="44"/>
      <c r="E19" s="44"/>
      <c r="F19" s="44"/>
      <c r="G19" s="45" t="str">
        <f aca="false">IF(C19="","",IF(F19&lt;&gt;"",(F19-C19)/C19,IF(E19&lt;&gt;"",(E19-C19)/C19,IF(D19&lt;&gt;"",(D19-C19)/C19,""))))</f>
        <v/>
      </c>
      <c r="H19" s="4"/>
    </row>
    <row r="20" customFormat="false" ht="15" hidden="false" customHeight="false" outlineLevel="0" collapsed="false">
      <c r="A20" s="4"/>
      <c r="B20" s="13"/>
      <c r="C20" s="44"/>
      <c r="D20" s="44"/>
      <c r="E20" s="44"/>
      <c r="F20" s="44"/>
      <c r="G20" s="45" t="str">
        <f aca="false">IF(C20="","",IF(F20&lt;&gt;"",(F20-C20)/C20,IF(E20&lt;&gt;"",(E20-C20)/C20,IF(D20&lt;&gt;"",(D20-C20)/C20,""))))</f>
        <v/>
      </c>
      <c r="H20" s="4"/>
    </row>
    <row r="21" customFormat="false" ht="15" hidden="false" customHeight="false" outlineLevel="0" collapsed="false">
      <c r="A21" s="4"/>
      <c r="B21" s="13"/>
      <c r="C21" s="44"/>
      <c r="D21" s="44"/>
      <c r="E21" s="44"/>
      <c r="F21" s="44"/>
      <c r="G21" s="45" t="str">
        <f aca="false">IF(C21="","",IF(F21&lt;&gt;"",(F21-C21)/C21,IF(E21&lt;&gt;"",(E21-C21)/C21,IF(D21&lt;&gt;"",(D21-C21)/C21,""))))</f>
        <v/>
      </c>
      <c r="H21" s="4"/>
    </row>
    <row r="22" customFormat="false" ht="15" hidden="false" customHeight="false" outlineLevel="0" collapsed="false">
      <c r="A22" s="4"/>
      <c r="B22" s="13"/>
      <c r="C22" s="44"/>
      <c r="D22" s="44"/>
      <c r="E22" s="44"/>
      <c r="F22" s="44"/>
      <c r="G22" s="45" t="str">
        <f aca="false">IF(C22="","",IF(F22&lt;&gt;"",(F22-C22)/C22,IF(E22&lt;&gt;"",(E22-C22)/C22,IF(D22&lt;&gt;"",(D22-C22)/C22,""))))</f>
        <v/>
      </c>
      <c r="H22" s="4"/>
    </row>
    <row r="23" customFormat="false" ht="15" hidden="false" customHeight="false" outlineLevel="0" collapsed="false">
      <c r="A23" s="4"/>
      <c r="B23" s="13"/>
      <c r="C23" s="44"/>
      <c r="D23" s="44"/>
      <c r="E23" s="44"/>
      <c r="F23" s="44"/>
      <c r="G23" s="45" t="str">
        <f aca="false">IF(C23="","",IF(F23&lt;&gt;"",(F23-C23)/C23,IF(E23&lt;&gt;"",(E23-C23)/C23,IF(D23&lt;&gt;"",(D23-C23)/C23,""))))</f>
        <v/>
      </c>
      <c r="H23" s="4"/>
    </row>
    <row r="24" customFormat="false" ht="15" hidden="false" customHeight="false" outlineLevel="0" collapsed="false">
      <c r="A24" s="4"/>
      <c r="B24" s="13"/>
      <c r="C24" s="44"/>
      <c r="D24" s="44"/>
      <c r="E24" s="44"/>
      <c r="F24" s="44"/>
      <c r="G24" s="45" t="str">
        <f aca="false">IF(C24="","",IF(F24&lt;&gt;"",(F24-C24)/C24,IF(E24&lt;&gt;"",(E24-C24)/C24,IF(D24&lt;&gt;"",(D24-C24)/C24,""))))</f>
        <v/>
      </c>
      <c r="H24" s="4"/>
    </row>
    <row r="25" customFormat="false" ht="15" hidden="false" customHeight="false" outlineLevel="0" collapsed="false">
      <c r="A25" s="4"/>
      <c r="B25" s="13"/>
      <c r="C25" s="44"/>
      <c r="D25" s="44"/>
      <c r="E25" s="44"/>
      <c r="F25" s="44"/>
      <c r="G25" s="45" t="str">
        <f aca="false">IF(C25="","",IF(F25&lt;&gt;"",(F25-C25)/C25,IF(E25&lt;&gt;"",(E25-C25)/C25,IF(D25&lt;&gt;"",(D25-C25)/C25,""))))</f>
        <v/>
      </c>
      <c r="H25" s="4"/>
    </row>
  </sheetData>
  <mergeCells count="2">
    <mergeCell ref="A1:H1"/>
    <mergeCell ref="A2:H2"/>
  </mergeCells>
  <conditionalFormatting sqref="G6:G25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2"/>
  </cols>
  <sheetData>
    <row r="1" customFormat="false" ht="27.75" hidden="false" customHeight="true" outlineLevel="0" collapsed="false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8" t="s">
        <v>89</v>
      </c>
      <c r="B4" s="8"/>
      <c r="C4" s="8" t="s">
        <v>90</v>
      </c>
      <c r="D4" s="8"/>
      <c r="E4" s="8" t="s">
        <v>91</v>
      </c>
      <c r="F4" s="8"/>
    </row>
    <row r="5" customFormat="false" ht="21.75" hidden="false" customHeight="true" outlineLevel="0" collapsed="false">
      <c r="A5" s="9" t="n">
        <f aca="false">SUM(H7:H206)</f>
        <v>205.218409133526</v>
      </c>
      <c r="B5" s="9"/>
      <c r="C5" s="46" t="n">
        <f aca="false">SUM(H7:H206)*'Budget du don'!$G$4</f>
        <v>134614.452</v>
      </c>
      <c r="D5" s="46"/>
      <c r="E5" s="47" t="n">
        <f aca="false">SUM(E7:E206)</f>
        <v>122</v>
      </c>
      <c r="F5" s="47"/>
    </row>
    <row r="6" customFormat="false" ht="27.75" hidden="false" customHeight="true" outlineLevel="0" collapsed="false">
      <c r="A6" s="12" t="s">
        <v>92</v>
      </c>
      <c r="B6" s="12" t="s">
        <v>93</v>
      </c>
      <c r="C6" s="12" t="s">
        <v>94</v>
      </c>
      <c r="D6" s="12" t="s">
        <v>95</v>
      </c>
      <c r="E6" s="12" t="s">
        <v>13</v>
      </c>
      <c r="F6" s="12" t="s">
        <v>16</v>
      </c>
      <c r="G6" s="12" t="s">
        <v>17</v>
      </c>
      <c r="H6" s="12" t="s">
        <v>96</v>
      </c>
      <c r="I6" s="12" t="s">
        <v>97</v>
      </c>
      <c r="J6" s="12" t="s">
        <v>86</v>
      </c>
    </row>
    <row r="7" customFormat="false" ht="15" hidden="false" customHeight="false" outlineLevel="0" collapsed="false">
      <c r="A7" s="4" t="s">
        <v>3</v>
      </c>
      <c r="B7" s="5" t="n">
        <v>46011</v>
      </c>
      <c r="C7" s="4" t="s">
        <v>6</v>
      </c>
      <c r="D7" s="4" t="s">
        <v>22</v>
      </c>
      <c r="E7" s="14" t="n">
        <v>100</v>
      </c>
      <c r="F7" s="15"/>
      <c r="G7" s="16" t="n">
        <v>330</v>
      </c>
      <c r="H7" s="19" t="n">
        <f aca="false">IF(OR(E7="",AND(F7="",G7="")),"",E7*IF(F7&lt;&gt;"",F7,G7/'Budget du don'!$G$4))</f>
        <v>50.3081756883454</v>
      </c>
      <c r="I7" s="18" t="n">
        <f aca="false">IF(H7="","",H7*'Budget du don'!$G$4)</f>
        <v>33000</v>
      </c>
      <c r="J7" s="4"/>
    </row>
    <row r="8" customFormat="false" ht="15" hidden="false" customHeight="false" outlineLevel="0" collapsed="false">
      <c r="A8" s="4" t="s">
        <v>3</v>
      </c>
      <c r="B8" s="5" t="n">
        <v>46011</v>
      </c>
      <c r="C8" s="4" t="s">
        <v>6</v>
      </c>
      <c r="D8" s="4" t="s">
        <v>20</v>
      </c>
      <c r="E8" s="14" t="n">
        <v>2</v>
      </c>
      <c r="F8" s="15" t="n">
        <v>18</v>
      </c>
      <c r="G8" s="16"/>
      <c r="H8" s="19" t="n">
        <f aca="false">IF(OR(E8="",AND(F8="",G8="")),"",E8*IF(F8&lt;&gt;"",F8,G8/'Budget du don'!$G$4))</f>
        <v>36</v>
      </c>
      <c r="I8" s="18" t="n">
        <f aca="false">IF(H8="","",H8*'Budget du don'!$G$4)</f>
        <v>23614.452</v>
      </c>
      <c r="J8" s="4"/>
    </row>
    <row r="9" customFormat="false" ht="15" hidden="false" customHeight="false" outlineLevel="0" collapsed="false">
      <c r="A9" s="4" t="s">
        <v>3</v>
      </c>
      <c r="B9" s="5" t="n">
        <v>46011</v>
      </c>
      <c r="C9" s="4" t="s">
        <v>6</v>
      </c>
      <c r="D9" s="4" t="s">
        <v>25</v>
      </c>
      <c r="E9" s="14" t="n">
        <v>20</v>
      </c>
      <c r="F9" s="15"/>
      <c r="G9" s="16" t="n">
        <v>3900</v>
      </c>
      <c r="H9" s="19" t="n">
        <f aca="false">IF(OR(E9="",AND(F9="",G9="")),"",E9*IF(F9&lt;&gt;"",F9,G9/'Budget du don'!$G$4))</f>
        <v>118.91023344518</v>
      </c>
      <c r="I9" s="18" t="n">
        <f aca="false">IF(H9="","",H9*'Budget du don'!$G$4)</f>
        <v>78000</v>
      </c>
      <c r="J9" s="4"/>
    </row>
    <row r="10" customFormat="false" ht="15" hidden="false" customHeight="false" outlineLevel="0" collapsed="false">
      <c r="A10" s="4"/>
      <c r="B10" s="5"/>
      <c r="C10" s="4"/>
      <c r="D10" s="4"/>
      <c r="E10" s="14"/>
      <c r="F10" s="15"/>
      <c r="G10" s="16"/>
      <c r="H10" s="19" t="str">
        <f aca="false">IF(OR(E10="",AND(F10="",G10="")),"",E10*IF(F10&lt;&gt;"",F10,G10/'Budget du don'!$G$4))</f>
        <v/>
      </c>
      <c r="I10" s="18" t="str">
        <f aca="false">IF(H10="","",H10*'Budget du don'!$G$4)</f>
        <v/>
      </c>
      <c r="J10" s="4"/>
    </row>
    <row r="11" customFormat="false" ht="15" hidden="false" customHeight="false" outlineLevel="0" collapsed="false">
      <c r="A11" s="4"/>
      <c r="B11" s="5"/>
      <c r="C11" s="4"/>
      <c r="D11" s="4"/>
      <c r="E11" s="14"/>
      <c r="F11" s="15"/>
      <c r="G11" s="16"/>
      <c r="H11" s="19" t="str">
        <f aca="false">IF(OR(E11="",AND(F11="",G11="")),"",E11*IF(F11&lt;&gt;"",F11,G11/'Budget du don'!$G$4))</f>
        <v/>
      </c>
      <c r="I11" s="18" t="str">
        <f aca="false">IF(H11="","",H11*'Budget du don'!$G$4)</f>
        <v/>
      </c>
      <c r="J11" s="4"/>
    </row>
    <row r="12" customFormat="false" ht="15" hidden="false" customHeight="false" outlineLevel="0" collapsed="false">
      <c r="A12" s="4"/>
      <c r="B12" s="5"/>
      <c r="C12" s="4"/>
      <c r="D12" s="4"/>
      <c r="E12" s="14"/>
      <c r="F12" s="15"/>
      <c r="G12" s="16"/>
      <c r="H12" s="19" t="str">
        <f aca="false">IF(OR(E12="",AND(F12="",G12="")),"",E12*IF(F12&lt;&gt;"",F12,G12/'Budget du don'!$G$4))</f>
        <v/>
      </c>
      <c r="I12" s="18" t="str">
        <f aca="false">IF(H12="","",H12*'Budget du don'!$G$4)</f>
        <v/>
      </c>
      <c r="J12" s="4"/>
    </row>
    <row r="13" customFormat="false" ht="15" hidden="false" customHeight="false" outlineLevel="0" collapsed="false">
      <c r="A13" s="4"/>
      <c r="B13" s="5"/>
      <c r="C13" s="4"/>
      <c r="D13" s="4"/>
      <c r="E13" s="14"/>
      <c r="F13" s="15"/>
      <c r="G13" s="16"/>
      <c r="H13" s="19" t="str">
        <f aca="false">IF(OR(E13="",AND(F13="",G13="")),"",E13*IF(F13&lt;&gt;"",F13,G13/'Budget du don'!$G$4))</f>
        <v/>
      </c>
      <c r="I13" s="18" t="str">
        <f aca="false">IF(H13="","",H13*'Budget du don'!$G$4)</f>
        <v/>
      </c>
      <c r="J13" s="4"/>
    </row>
    <row r="14" customFormat="false" ht="15" hidden="false" customHeight="false" outlineLevel="0" collapsed="false">
      <c r="A14" s="4"/>
      <c r="B14" s="5"/>
      <c r="C14" s="4"/>
      <c r="D14" s="4"/>
      <c r="E14" s="14"/>
      <c r="F14" s="15"/>
      <c r="G14" s="16"/>
      <c r="H14" s="19" t="str">
        <f aca="false">IF(OR(E14="",AND(F14="",G14="")),"",E14*IF(F14&lt;&gt;"",F14,G14/'Budget du don'!$G$4))</f>
        <v/>
      </c>
      <c r="I14" s="18" t="str">
        <f aca="false">IF(H14="","",H14*'Budget du don'!$G$4)</f>
        <v/>
      </c>
      <c r="J14" s="4"/>
    </row>
    <row r="15" customFormat="false" ht="15" hidden="false" customHeight="false" outlineLevel="0" collapsed="false">
      <c r="A15" s="4"/>
      <c r="B15" s="5"/>
      <c r="C15" s="4"/>
      <c r="D15" s="4"/>
      <c r="E15" s="14"/>
      <c r="F15" s="15"/>
      <c r="G15" s="16"/>
      <c r="H15" s="19" t="str">
        <f aca="false">IF(OR(E15="",AND(F15="",G15="")),"",E15*IF(F15&lt;&gt;"",F15,G15/'Budget du don'!$G$4))</f>
        <v/>
      </c>
      <c r="I15" s="18" t="str">
        <f aca="false">IF(H15="","",H15*'Budget du don'!$G$4)</f>
        <v/>
      </c>
      <c r="J15" s="4"/>
    </row>
    <row r="16" customFormat="false" ht="15" hidden="false" customHeight="false" outlineLevel="0" collapsed="false">
      <c r="A16" s="4"/>
      <c r="B16" s="5"/>
      <c r="C16" s="4"/>
      <c r="D16" s="4"/>
      <c r="E16" s="14"/>
      <c r="F16" s="15"/>
      <c r="G16" s="16"/>
      <c r="H16" s="19" t="str">
        <f aca="false">IF(OR(E16="",AND(F16="",G16="")),"",E16*IF(F16&lt;&gt;"",F16,G16/'Budget du don'!$G$4))</f>
        <v/>
      </c>
      <c r="I16" s="18" t="str">
        <f aca="false">IF(H16="","",H16*'Budget du don'!$G$4)</f>
        <v/>
      </c>
      <c r="J16" s="4"/>
    </row>
    <row r="17" customFormat="false" ht="15" hidden="false" customHeight="false" outlineLevel="0" collapsed="false">
      <c r="A17" s="4"/>
      <c r="B17" s="5"/>
      <c r="C17" s="4"/>
      <c r="D17" s="4"/>
      <c r="E17" s="14"/>
      <c r="F17" s="15"/>
      <c r="G17" s="16"/>
      <c r="H17" s="19" t="str">
        <f aca="false">IF(OR(E17="",AND(F17="",G17="")),"",E17*IF(F17&lt;&gt;"",F17,G17/'Budget du don'!$G$4))</f>
        <v/>
      </c>
      <c r="I17" s="18" t="str">
        <f aca="false">IF(H17="","",H17*'Budget du don'!$G$4)</f>
        <v/>
      </c>
      <c r="J17" s="4"/>
    </row>
    <row r="18" customFormat="false" ht="15" hidden="false" customHeight="false" outlineLevel="0" collapsed="false">
      <c r="A18" s="4"/>
      <c r="B18" s="5"/>
      <c r="C18" s="4"/>
      <c r="D18" s="4"/>
      <c r="E18" s="14"/>
      <c r="F18" s="15"/>
      <c r="G18" s="16"/>
      <c r="H18" s="19" t="str">
        <f aca="false">IF(OR(E18="",AND(F18="",G18="")),"",E18*IF(F18&lt;&gt;"",F18,G18/'Budget du don'!$G$4))</f>
        <v/>
      </c>
      <c r="I18" s="18" t="str">
        <f aca="false">IF(H18="","",H18*'Budget du don'!$G$4)</f>
        <v/>
      </c>
      <c r="J18" s="4"/>
    </row>
    <row r="19" customFormat="false" ht="15" hidden="false" customHeight="false" outlineLevel="0" collapsed="false">
      <c r="A19" s="4"/>
      <c r="B19" s="5"/>
      <c r="C19" s="4"/>
      <c r="D19" s="4"/>
      <c r="E19" s="14"/>
      <c r="F19" s="15"/>
      <c r="G19" s="16"/>
      <c r="H19" s="19" t="str">
        <f aca="false">IF(OR(E19="",AND(F19="",G19="")),"",E19*IF(F19&lt;&gt;"",F19,G19/'Budget du don'!$G$4))</f>
        <v/>
      </c>
      <c r="I19" s="18" t="str">
        <f aca="false">IF(H19="","",H19*'Budget du don'!$G$4)</f>
        <v/>
      </c>
      <c r="J19" s="4"/>
    </row>
    <row r="20" customFormat="false" ht="15" hidden="false" customHeight="false" outlineLevel="0" collapsed="false">
      <c r="A20" s="4"/>
      <c r="B20" s="5"/>
      <c r="C20" s="4"/>
      <c r="D20" s="4"/>
      <c r="E20" s="14"/>
      <c r="F20" s="15"/>
      <c r="G20" s="16"/>
      <c r="H20" s="19" t="str">
        <f aca="false">IF(OR(E20="",AND(F20="",G20="")),"",E20*IF(F20&lt;&gt;"",F20,G20/'Budget du don'!$G$4))</f>
        <v/>
      </c>
      <c r="I20" s="18" t="str">
        <f aca="false">IF(H20="","",H20*'Budget du don'!$G$4)</f>
        <v/>
      </c>
      <c r="J20" s="4"/>
    </row>
    <row r="21" customFormat="false" ht="15" hidden="false" customHeight="false" outlineLevel="0" collapsed="false">
      <c r="A21" s="4"/>
      <c r="B21" s="5"/>
      <c r="C21" s="4"/>
      <c r="D21" s="4"/>
      <c r="E21" s="14"/>
      <c r="F21" s="15"/>
      <c r="G21" s="16"/>
      <c r="H21" s="19" t="str">
        <f aca="false">IF(OR(E21="",AND(F21="",G21="")),"",E21*IF(F21&lt;&gt;"",F21,G21/'Budget du don'!$G$4))</f>
        <v/>
      </c>
      <c r="I21" s="18" t="str">
        <f aca="false">IF(H21="","",H21*'Budget du don'!$G$4)</f>
        <v/>
      </c>
      <c r="J21" s="4"/>
    </row>
    <row r="22" customFormat="false" ht="15" hidden="false" customHeight="false" outlineLevel="0" collapsed="false">
      <c r="A22" s="4"/>
      <c r="B22" s="5"/>
      <c r="C22" s="4"/>
      <c r="D22" s="4"/>
      <c r="E22" s="14"/>
      <c r="F22" s="15"/>
      <c r="G22" s="16"/>
      <c r="H22" s="19" t="str">
        <f aca="false">IF(OR(E22="",AND(F22="",G22="")),"",E22*IF(F22&lt;&gt;"",F22,G22/'Budget du don'!$G$4))</f>
        <v/>
      </c>
      <c r="I22" s="18" t="str">
        <f aca="false">IF(H22="","",H22*'Budget du don'!$G$4)</f>
        <v/>
      </c>
      <c r="J22" s="4"/>
    </row>
    <row r="23" customFormat="false" ht="15" hidden="false" customHeight="false" outlineLevel="0" collapsed="false">
      <c r="A23" s="4"/>
      <c r="B23" s="5"/>
      <c r="C23" s="4"/>
      <c r="D23" s="4"/>
      <c r="E23" s="14"/>
      <c r="F23" s="15"/>
      <c r="G23" s="16"/>
      <c r="H23" s="19" t="str">
        <f aca="false">IF(OR(E23="",AND(F23="",G23="")),"",E23*IF(F23&lt;&gt;"",F23,G23/'Budget du don'!$G$4))</f>
        <v/>
      </c>
      <c r="I23" s="18" t="str">
        <f aca="false">IF(H23="","",H23*'Budget du don'!$G$4)</f>
        <v/>
      </c>
      <c r="J23" s="4"/>
    </row>
    <row r="24" customFormat="false" ht="15" hidden="false" customHeight="false" outlineLevel="0" collapsed="false">
      <c r="A24" s="4"/>
      <c r="B24" s="5"/>
      <c r="C24" s="4"/>
      <c r="D24" s="4"/>
      <c r="E24" s="14"/>
      <c r="F24" s="15"/>
      <c r="G24" s="16"/>
      <c r="H24" s="19" t="str">
        <f aca="false">IF(OR(E24="",AND(F24="",G24="")),"",E24*IF(F24&lt;&gt;"",F24,G24/'Budget du don'!$G$4))</f>
        <v/>
      </c>
      <c r="I24" s="18" t="str">
        <f aca="false">IF(H24="","",H24*'Budget du don'!$G$4)</f>
        <v/>
      </c>
      <c r="J24" s="4"/>
    </row>
    <row r="25" customFormat="false" ht="15" hidden="false" customHeight="false" outlineLevel="0" collapsed="false">
      <c r="A25" s="4"/>
      <c r="B25" s="5"/>
      <c r="C25" s="4"/>
      <c r="D25" s="4"/>
      <c r="E25" s="14"/>
      <c r="F25" s="15"/>
      <c r="G25" s="16"/>
      <c r="H25" s="19" t="str">
        <f aca="false">IF(OR(E25="",AND(F25="",G25="")),"",E25*IF(F25&lt;&gt;"",F25,G25/'Budget du don'!$G$4))</f>
        <v/>
      </c>
      <c r="I25" s="18" t="str">
        <f aca="false">IF(H25="","",H25*'Budget du don'!$G$4)</f>
        <v/>
      </c>
      <c r="J25" s="4"/>
    </row>
    <row r="26" customFormat="false" ht="15" hidden="false" customHeight="false" outlineLevel="0" collapsed="false">
      <c r="A26" s="4"/>
      <c r="B26" s="5"/>
      <c r="C26" s="4"/>
      <c r="D26" s="4"/>
      <c r="E26" s="14"/>
      <c r="F26" s="15"/>
      <c r="G26" s="16"/>
      <c r="H26" s="19" t="str">
        <f aca="false">IF(OR(E26="",AND(F26="",G26="")),"",E26*IF(F26&lt;&gt;"",F26,G26/'Budget du don'!$G$4))</f>
        <v/>
      </c>
      <c r="I26" s="18" t="str">
        <f aca="false">IF(H26="","",H26*'Budget du don'!$G$4)</f>
        <v/>
      </c>
      <c r="J26" s="4"/>
    </row>
    <row r="27" customFormat="false" ht="15" hidden="false" customHeight="false" outlineLevel="0" collapsed="false">
      <c r="A27" s="4"/>
      <c r="B27" s="5"/>
      <c r="C27" s="4"/>
      <c r="D27" s="4"/>
      <c r="E27" s="14"/>
      <c r="F27" s="15"/>
      <c r="G27" s="16"/>
      <c r="H27" s="19" t="str">
        <f aca="false">IF(OR(E27="",AND(F27="",G27="")),"",E27*IF(F27&lt;&gt;"",F27,G27/'Budget du don'!$G$4))</f>
        <v/>
      </c>
      <c r="I27" s="18" t="str">
        <f aca="false">IF(H27="","",H27*'Budget du don'!$G$4)</f>
        <v/>
      </c>
      <c r="J27" s="4"/>
    </row>
    <row r="28" customFormat="false" ht="15" hidden="false" customHeight="false" outlineLevel="0" collapsed="false">
      <c r="A28" s="4"/>
      <c r="B28" s="5"/>
      <c r="C28" s="4"/>
      <c r="D28" s="4"/>
      <c r="E28" s="14"/>
      <c r="F28" s="15"/>
      <c r="G28" s="16"/>
      <c r="H28" s="19" t="str">
        <f aca="false">IF(OR(E28="",AND(F28="",G28="")),"",E28*IF(F28&lt;&gt;"",F28,G28/'Budget du don'!$G$4))</f>
        <v/>
      </c>
      <c r="I28" s="18" t="str">
        <f aca="false">IF(H28="","",H28*'Budget du don'!$G$4)</f>
        <v/>
      </c>
      <c r="J28" s="4"/>
    </row>
    <row r="29" customFormat="false" ht="15" hidden="false" customHeight="false" outlineLevel="0" collapsed="false">
      <c r="A29" s="4"/>
      <c r="B29" s="5"/>
      <c r="C29" s="4"/>
      <c r="D29" s="4"/>
      <c r="E29" s="14"/>
      <c r="F29" s="15"/>
      <c r="G29" s="16"/>
      <c r="H29" s="19" t="str">
        <f aca="false">IF(OR(E29="",AND(F29="",G29="")),"",E29*IF(F29&lt;&gt;"",F29,G29/'Budget du don'!$G$4))</f>
        <v/>
      </c>
      <c r="I29" s="18" t="str">
        <f aca="false">IF(H29="","",H29*'Budget du don'!$G$4)</f>
        <v/>
      </c>
      <c r="J29" s="4"/>
    </row>
    <row r="30" customFormat="false" ht="15" hidden="false" customHeight="false" outlineLevel="0" collapsed="false">
      <c r="A30" s="4"/>
      <c r="B30" s="5"/>
      <c r="C30" s="4"/>
      <c r="D30" s="4"/>
      <c r="E30" s="14"/>
      <c r="F30" s="15"/>
      <c r="G30" s="16"/>
      <c r="H30" s="19" t="str">
        <f aca="false">IF(OR(E30="",AND(F30="",G30="")),"",E30*IF(F30&lt;&gt;"",F30,G30/'Budget du don'!$G$4))</f>
        <v/>
      </c>
      <c r="I30" s="18" t="str">
        <f aca="false">IF(H30="","",H30*'Budget du don'!$G$4)</f>
        <v/>
      </c>
      <c r="J30" s="4"/>
    </row>
    <row r="31" customFormat="false" ht="15" hidden="false" customHeight="false" outlineLevel="0" collapsed="false">
      <c r="A31" s="4"/>
      <c r="B31" s="5"/>
      <c r="C31" s="4"/>
      <c r="D31" s="4"/>
      <c r="E31" s="14"/>
      <c r="F31" s="15"/>
      <c r="G31" s="16"/>
      <c r="H31" s="19" t="str">
        <f aca="false">IF(OR(E31="",AND(F31="",G31="")),"",E31*IF(F31&lt;&gt;"",F31,G31/'Budget du don'!$G$4))</f>
        <v/>
      </c>
      <c r="I31" s="18" t="str">
        <f aca="false">IF(H31="","",H31*'Budget du don'!$G$4)</f>
        <v/>
      </c>
      <c r="J31" s="4"/>
    </row>
    <row r="32" customFormat="false" ht="15" hidden="false" customHeight="false" outlineLevel="0" collapsed="false">
      <c r="A32" s="4"/>
      <c r="B32" s="5"/>
      <c r="C32" s="4"/>
      <c r="D32" s="4"/>
      <c r="E32" s="14"/>
      <c r="F32" s="15"/>
      <c r="G32" s="16"/>
      <c r="H32" s="19" t="str">
        <f aca="false">IF(OR(E32="",AND(F32="",G32="")),"",E32*IF(F32&lt;&gt;"",F32,G32/'Budget du don'!$G$4))</f>
        <v/>
      </c>
      <c r="I32" s="18" t="str">
        <f aca="false">IF(H32="","",H32*'Budget du don'!$G$4)</f>
        <v/>
      </c>
      <c r="J32" s="4"/>
    </row>
    <row r="33" customFormat="false" ht="15" hidden="false" customHeight="false" outlineLevel="0" collapsed="false">
      <c r="A33" s="4"/>
      <c r="B33" s="5"/>
      <c r="C33" s="4"/>
      <c r="D33" s="4"/>
      <c r="E33" s="14"/>
      <c r="F33" s="15"/>
      <c r="G33" s="16"/>
      <c r="H33" s="19" t="str">
        <f aca="false">IF(OR(E33="",AND(F33="",G33="")),"",E33*IF(F33&lt;&gt;"",F33,G33/'Budget du don'!$G$4))</f>
        <v/>
      </c>
      <c r="I33" s="18" t="str">
        <f aca="false">IF(H33="","",H33*'Budget du don'!$G$4)</f>
        <v/>
      </c>
      <c r="J33" s="4"/>
    </row>
    <row r="34" customFormat="false" ht="15" hidden="false" customHeight="false" outlineLevel="0" collapsed="false">
      <c r="A34" s="4"/>
      <c r="B34" s="5"/>
      <c r="C34" s="4"/>
      <c r="D34" s="4"/>
      <c r="E34" s="14"/>
      <c r="F34" s="15"/>
      <c r="G34" s="16"/>
      <c r="H34" s="19" t="str">
        <f aca="false">IF(OR(E34="",AND(F34="",G34="")),"",E34*IF(F34&lt;&gt;"",F34,G34/'Budget du don'!$G$4))</f>
        <v/>
      </c>
      <c r="I34" s="18" t="str">
        <f aca="false">IF(H34="","",H34*'Budget du don'!$G$4)</f>
        <v/>
      </c>
      <c r="J34" s="4"/>
    </row>
    <row r="35" customFormat="false" ht="15" hidden="false" customHeight="false" outlineLevel="0" collapsed="false">
      <c r="A35" s="4"/>
      <c r="B35" s="5"/>
      <c r="C35" s="4"/>
      <c r="D35" s="4"/>
      <c r="E35" s="14"/>
      <c r="F35" s="15"/>
      <c r="G35" s="16"/>
      <c r="H35" s="19" t="str">
        <f aca="false">IF(OR(E35="",AND(F35="",G35="")),"",E35*IF(F35&lt;&gt;"",F35,G35/'Budget du don'!$G$4))</f>
        <v/>
      </c>
      <c r="I35" s="18" t="str">
        <f aca="false">IF(H35="","",H35*'Budget du don'!$G$4)</f>
        <v/>
      </c>
      <c r="J35" s="4"/>
    </row>
    <row r="36" customFormat="false" ht="15" hidden="false" customHeight="false" outlineLevel="0" collapsed="false">
      <c r="A36" s="4"/>
      <c r="B36" s="5"/>
      <c r="C36" s="4"/>
      <c r="D36" s="4"/>
      <c r="E36" s="14"/>
      <c r="F36" s="15"/>
      <c r="G36" s="16"/>
      <c r="H36" s="19" t="str">
        <f aca="false">IF(OR(E36="",AND(F36="",G36="")),"",E36*IF(F36&lt;&gt;"",F36,G36/'Budget du don'!$G$4))</f>
        <v/>
      </c>
      <c r="I36" s="18" t="str">
        <f aca="false">IF(H36="","",H36*'Budget du don'!$G$4)</f>
        <v/>
      </c>
      <c r="J36" s="4"/>
    </row>
    <row r="37" customFormat="false" ht="15" hidden="false" customHeight="false" outlineLevel="0" collapsed="false">
      <c r="A37" s="4"/>
      <c r="B37" s="5"/>
      <c r="C37" s="4"/>
      <c r="D37" s="4"/>
      <c r="E37" s="14"/>
      <c r="F37" s="15"/>
      <c r="G37" s="16"/>
      <c r="H37" s="19" t="str">
        <f aca="false">IF(OR(E37="",AND(F37="",G37="")),"",E37*IF(F37&lt;&gt;"",F37,G37/'Budget du don'!$G$4))</f>
        <v/>
      </c>
      <c r="I37" s="18" t="str">
        <f aca="false">IF(H37="","",H37*'Budget du don'!$G$4)</f>
        <v/>
      </c>
      <c r="J37" s="4"/>
    </row>
    <row r="38" customFormat="false" ht="15" hidden="false" customHeight="false" outlineLevel="0" collapsed="false">
      <c r="A38" s="4"/>
      <c r="B38" s="5"/>
      <c r="C38" s="4"/>
      <c r="D38" s="4"/>
      <c r="E38" s="14"/>
      <c r="F38" s="15"/>
      <c r="G38" s="16"/>
      <c r="H38" s="19" t="str">
        <f aca="false">IF(OR(E38="",AND(F38="",G38="")),"",E38*IF(F38&lt;&gt;"",F38,G38/'Budget du don'!$G$4))</f>
        <v/>
      </c>
      <c r="I38" s="18" t="str">
        <f aca="false">IF(H38="","",H38*'Budget du don'!$G$4)</f>
        <v/>
      </c>
      <c r="J38" s="4"/>
    </row>
    <row r="39" customFormat="false" ht="15" hidden="false" customHeight="false" outlineLevel="0" collapsed="false">
      <c r="A39" s="4"/>
      <c r="B39" s="5"/>
      <c r="C39" s="4"/>
      <c r="D39" s="4"/>
      <c r="E39" s="14"/>
      <c r="F39" s="15"/>
      <c r="G39" s="16"/>
      <c r="H39" s="19" t="str">
        <f aca="false">IF(OR(E39="",AND(F39="",G39="")),"",E39*IF(F39&lt;&gt;"",F39,G39/'Budget du don'!$G$4))</f>
        <v/>
      </c>
      <c r="I39" s="18" t="str">
        <f aca="false">IF(H39="","",H39*'Budget du don'!$G$4)</f>
        <v/>
      </c>
      <c r="J39" s="4"/>
    </row>
    <row r="40" customFormat="false" ht="15" hidden="false" customHeight="false" outlineLevel="0" collapsed="false">
      <c r="A40" s="4"/>
      <c r="B40" s="5"/>
      <c r="C40" s="4"/>
      <c r="D40" s="4"/>
      <c r="E40" s="14"/>
      <c r="F40" s="15"/>
      <c r="G40" s="16"/>
      <c r="H40" s="19" t="str">
        <f aca="false">IF(OR(E40="",AND(F40="",G40="")),"",E40*IF(F40&lt;&gt;"",F40,G40/'Budget du don'!$G$4))</f>
        <v/>
      </c>
      <c r="I40" s="18" t="str">
        <f aca="false">IF(H40="","",H40*'Budget du don'!$G$4)</f>
        <v/>
      </c>
      <c r="J40" s="4"/>
    </row>
    <row r="41" customFormat="false" ht="15" hidden="false" customHeight="false" outlineLevel="0" collapsed="false">
      <c r="A41" s="4"/>
      <c r="B41" s="5"/>
      <c r="C41" s="4"/>
      <c r="D41" s="4"/>
      <c r="E41" s="14"/>
      <c r="F41" s="15"/>
      <c r="G41" s="16"/>
      <c r="H41" s="19" t="str">
        <f aca="false">IF(OR(E41="",AND(F41="",G41="")),"",E41*IF(F41&lt;&gt;"",F41,G41/'Budget du don'!$G$4))</f>
        <v/>
      </c>
      <c r="I41" s="18" t="str">
        <f aca="false">IF(H41="","",H41*'Budget du don'!$G$4)</f>
        <v/>
      </c>
      <c r="J41" s="4"/>
    </row>
    <row r="42" customFormat="false" ht="15" hidden="false" customHeight="false" outlineLevel="0" collapsed="false">
      <c r="A42" s="4"/>
      <c r="B42" s="5"/>
      <c r="C42" s="4"/>
      <c r="D42" s="4"/>
      <c r="E42" s="14"/>
      <c r="F42" s="15"/>
      <c r="G42" s="16"/>
      <c r="H42" s="19" t="str">
        <f aca="false">IF(OR(E42="",AND(F42="",G42="")),"",E42*IF(F42&lt;&gt;"",F42,G42/'Budget du don'!$G$4))</f>
        <v/>
      </c>
      <c r="I42" s="18" t="str">
        <f aca="false">IF(H42="","",H42*'Budget du don'!$G$4)</f>
        <v/>
      </c>
      <c r="J42" s="4"/>
    </row>
    <row r="43" customFormat="false" ht="15" hidden="false" customHeight="false" outlineLevel="0" collapsed="false">
      <c r="A43" s="4"/>
      <c r="B43" s="5"/>
      <c r="C43" s="4"/>
      <c r="D43" s="4"/>
      <c r="E43" s="14"/>
      <c r="F43" s="15"/>
      <c r="G43" s="16"/>
      <c r="H43" s="19" t="str">
        <f aca="false">IF(OR(E43="",AND(F43="",G43="")),"",E43*IF(F43&lt;&gt;"",F43,G43/'Budget du don'!$G$4))</f>
        <v/>
      </c>
      <c r="I43" s="18" t="str">
        <f aca="false">IF(H43="","",H43*'Budget du don'!$G$4)</f>
        <v/>
      </c>
      <c r="J43" s="4"/>
    </row>
    <row r="44" customFormat="false" ht="15" hidden="false" customHeight="false" outlineLevel="0" collapsed="false">
      <c r="A44" s="4"/>
      <c r="B44" s="5"/>
      <c r="C44" s="4"/>
      <c r="D44" s="4"/>
      <c r="E44" s="14"/>
      <c r="F44" s="15"/>
      <c r="G44" s="16"/>
      <c r="H44" s="19" t="str">
        <f aca="false">IF(OR(E44="",AND(F44="",G44="")),"",E44*IF(F44&lt;&gt;"",F44,G44/'Budget du don'!$G$4))</f>
        <v/>
      </c>
      <c r="I44" s="18" t="str">
        <f aca="false">IF(H44="","",H44*'Budget du don'!$G$4)</f>
        <v/>
      </c>
      <c r="J44" s="4"/>
    </row>
    <row r="45" customFormat="false" ht="15" hidden="false" customHeight="false" outlineLevel="0" collapsed="false">
      <c r="A45" s="4"/>
      <c r="B45" s="5"/>
      <c r="C45" s="4"/>
      <c r="D45" s="4"/>
      <c r="E45" s="14"/>
      <c r="F45" s="15"/>
      <c r="G45" s="16"/>
      <c r="H45" s="19" t="str">
        <f aca="false">IF(OR(E45="",AND(F45="",G45="")),"",E45*IF(F45&lt;&gt;"",F45,G45/'Budget du don'!$G$4))</f>
        <v/>
      </c>
      <c r="I45" s="18" t="str">
        <f aca="false">IF(H45="","",H45*'Budget du don'!$G$4)</f>
        <v/>
      </c>
      <c r="J45" s="4"/>
    </row>
    <row r="46" customFormat="false" ht="15" hidden="false" customHeight="false" outlineLevel="0" collapsed="false">
      <c r="A46" s="4"/>
      <c r="B46" s="5"/>
      <c r="C46" s="4"/>
      <c r="D46" s="4"/>
      <c r="E46" s="14"/>
      <c r="F46" s="15"/>
      <c r="G46" s="16"/>
      <c r="H46" s="19" t="str">
        <f aca="false">IF(OR(E46="",AND(F46="",G46="")),"",E46*IF(F46&lt;&gt;"",F46,G46/'Budget du don'!$G$4))</f>
        <v/>
      </c>
      <c r="I46" s="18" t="str">
        <f aca="false">IF(H46="","",H46*'Budget du don'!$G$4)</f>
        <v/>
      </c>
      <c r="J46" s="4"/>
    </row>
    <row r="47" customFormat="false" ht="15" hidden="false" customHeight="false" outlineLevel="0" collapsed="false">
      <c r="A47" s="4"/>
      <c r="B47" s="5"/>
      <c r="C47" s="4"/>
      <c r="D47" s="4"/>
      <c r="E47" s="14"/>
      <c r="F47" s="15"/>
      <c r="G47" s="16"/>
      <c r="H47" s="19" t="str">
        <f aca="false">IF(OR(E47="",AND(F47="",G47="")),"",E47*IF(F47&lt;&gt;"",F47,G47/'Budget du don'!$G$4))</f>
        <v/>
      </c>
      <c r="I47" s="18" t="str">
        <f aca="false">IF(H47="","",H47*'Budget du don'!$G$4)</f>
        <v/>
      </c>
      <c r="J47" s="4"/>
    </row>
    <row r="48" customFormat="false" ht="15" hidden="false" customHeight="false" outlineLevel="0" collapsed="false">
      <c r="A48" s="4"/>
      <c r="B48" s="5"/>
      <c r="C48" s="4"/>
      <c r="D48" s="4"/>
      <c r="E48" s="14"/>
      <c r="F48" s="15"/>
      <c r="G48" s="16"/>
      <c r="H48" s="19" t="str">
        <f aca="false">IF(OR(E48="",AND(F48="",G48="")),"",E48*IF(F48&lt;&gt;"",F48,G48/'Budget du don'!$G$4))</f>
        <v/>
      </c>
      <c r="I48" s="18" t="str">
        <f aca="false">IF(H48="","",H48*'Budget du don'!$G$4)</f>
        <v/>
      </c>
      <c r="J48" s="4"/>
    </row>
    <row r="49" customFormat="false" ht="15" hidden="false" customHeight="false" outlineLevel="0" collapsed="false">
      <c r="A49" s="4"/>
      <c r="B49" s="5"/>
      <c r="C49" s="4"/>
      <c r="D49" s="4"/>
      <c r="E49" s="14"/>
      <c r="F49" s="15"/>
      <c r="G49" s="16"/>
      <c r="H49" s="19" t="str">
        <f aca="false">IF(OR(E49="",AND(F49="",G49="")),"",E49*IF(F49&lt;&gt;"",F49,G49/'Budget du don'!$G$4))</f>
        <v/>
      </c>
      <c r="I49" s="18" t="str">
        <f aca="false">IF(H49="","",H49*'Budget du don'!$G$4)</f>
        <v/>
      </c>
      <c r="J49" s="4"/>
    </row>
    <row r="50" customFormat="false" ht="15" hidden="false" customHeight="false" outlineLevel="0" collapsed="false">
      <c r="A50" s="4"/>
      <c r="B50" s="5"/>
      <c r="C50" s="4"/>
      <c r="D50" s="4"/>
      <c r="E50" s="14"/>
      <c r="F50" s="15"/>
      <c r="G50" s="16"/>
      <c r="H50" s="19" t="str">
        <f aca="false">IF(OR(E50="",AND(F50="",G50="")),"",E50*IF(F50&lt;&gt;"",F50,G50/'Budget du don'!$G$4))</f>
        <v/>
      </c>
      <c r="I50" s="18" t="str">
        <f aca="false">IF(H50="","",H50*'Budget du don'!$G$4)</f>
        <v/>
      </c>
      <c r="J50" s="4"/>
    </row>
    <row r="51" customFormat="false" ht="15" hidden="false" customHeight="false" outlineLevel="0" collapsed="false">
      <c r="A51" s="4"/>
      <c r="B51" s="5"/>
      <c r="C51" s="4"/>
      <c r="D51" s="4"/>
      <c r="E51" s="14"/>
      <c r="F51" s="15"/>
      <c r="G51" s="16"/>
      <c r="H51" s="19" t="str">
        <f aca="false">IF(OR(E51="",AND(F51="",G51="")),"",E51*IF(F51&lt;&gt;"",F51,G51/'Budget du don'!$G$4))</f>
        <v/>
      </c>
      <c r="I51" s="18" t="str">
        <f aca="false">IF(H51="","",H51*'Budget du don'!$G$4)</f>
        <v/>
      </c>
      <c r="J51" s="4"/>
    </row>
    <row r="52" customFormat="false" ht="15" hidden="false" customHeight="false" outlineLevel="0" collapsed="false">
      <c r="A52" s="4"/>
      <c r="B52" s="5"/>
      <c r="C52" s="4"/>
      <c r="D52" s="4"/>
      <c r="E52" s="14"/>
      <c r="F52" s="15"/>
      <c r="G52" s="16"/>
      <c r="H52" s="19" t="str">
        <f aca="false">IF(OR(E52="",AND(F52="",G52="")),"",E52*IF(F52&lt;&gt;"",F52,G52/'Budget du don'!$G$4))</f>
        <v/>
      </c>
      <c r="I52" s="18" t="str">
        <f aca="false">IF(H52="","",H52*'Budget du don'!$G$4)</f>
        <v/>
      </c>
      <c r="J52" s="4"/>
    </row>
    <row r="53" customFormat="false" ht="15" hidden="false" customHeight="false" outlineLevel="0" collapsed="false">
      <c r="A53" s="4"/>
      <c r="B53" s="5"/>
      <c r="C53" s="4"/>
      <c r="D53" s="4"/>
      <c r="E53" s="14"/>
      <c r="F53" s="15"/>
      <c r="G53" s="16"/>
      <c r="H53" s="19" t="str">
        <f aca="false">IF(OR(E53="",AND(F53="",G53="")),"",E53*IF(F53&lt;&gt;"",F53,G53/'Budget du don'!$G$4))</f>
        <v/>
      </c>
      <c r="I53" s="18" t="str">
        <f aca="false">IF(H53="","",H53*'Budget du don'!$G$4)</f>
        <v/>
      </c>
      <c r="J53" s="4"/>
    </row>
    <row r="54" customFormat="false" ht="15" hidden="false" customHeight="false" outlineLevel="0" collapsed="false">
      <c r="A54" s="4"/>
      <c r="B54" s="5"/>
      <c r="C54" s="4"/>
      <c r="D54" s="4"/>
      <c r="E54" s="14"/>
      <c r="F54" s="15"/>
      <c r="G54" s="16"/>
      <c r="H54" s="19" t="str">
        <f aca="false">IF(OR(E54="",AND(F54="",G54="")),"",E54*IF(F54&lt;&gt;"",F54,G54/'Budget du don'!$G$4))</f>
        <v/>
      </c>
      <c r="I54" s="18" t="str">
        <f aca="false">IF(H54="","",H54*'Budget du don'!$G$4)</f>
        <v/>
      </c>
      <c r="J54" s="4"/>
    </row>
    <row r="55" customFormat="false" ht="15" hidden="false" customHeight="false" outlineLevel="0" collapsed="false">
      <c r="A55" s="4"/>
      <c r="B55" s="5"/>
      <c r="C55" s="4"/>
      <c r="D55" s="4"/>
      <c r="E55" s="14"/>
      <c r="F55" s="15"/>
      <c r="G55" s="16"/>
      <c r="H55" s="19" t="str">
        <f aca="false">IF(OR(E55="",AND(F55="",G55="")),"",E55*IF(F55&lt;&gt;"",F55,G55/'Budget du don'!$G$4))</f>
        <v/>
      </c>
      <c r="I55" s="18" t="str">
        <f aca="false">IF(H55="","",H55*'Budget du don'!$G$4)</f>
        <v/>
      </c>
      <c r="J55" s="4"/>
    </row>
    <row r="56" customFormat="false" ht="15" hidden="false" customHeight="false" outlineLevel="0" collapsed="false">
      <c r="A56" s="4"/>
      <c r="B56" s="5"/>
      <c r="C56" s="4"/>
      <c r="D56" s="4"/>
      <c r="E56" s="14"/>
      <c r="F56" s="15"/>
      <c r="G56" s="16"/>
      <c r="H56" s="19" t="str">
        <f aca="false">IF(OR(E56="",AND(F56="",G56="")),"",E56*IF(F56&lt;&gt;"",F56,G56/'Budget du don'!$G$4))</f>
        <v/>
      </c>
      <c r="I56" s="18" t="str">
        <f aca="false">IF(H56="","",H56*'Budget du don'!$G$4)</f>
        <v/>
      </c>
      <c r="J56" s="4"/>
    </row>
    <row r="57" customFormat="false" ht="15" hidden="false" customHeight="false" outlineLevel="0" collapsed="false">
      <c r="A57" s="4"/>
      <c r="B57" s="5"/>
      <c r="C57" s="4"/>
      <c r="D57" s="4"/>
      <c r="E57" s="14"/>
      <c r="F57" s="15"/>
      <c r="G57" s="16"/>
      <c r="H57" s="19" t="str">
        <f aca="false">IF(OR(E57="",AND(F57="",G57="")),"",E57*IF(F57&lt;&gt;"",F57,G57/'Budget du don'!$G$4))</f>
        <v/>
      </c>
      <c r="I57" s="18" t="str">
        <f aca="false">IF(H57="","",H57*'Budget du don'!$G$4)</f>
        <v/>
      </c>
      <c r="J57" s="4"/>
    </row>
    <row r="58" customFormat="false" ht="15" hidden="false" customHeight="false" outlineLevel="0" collapsed="false">
      <c r="A58" s="4"/>
      <c r="B58" s="5"/>
      <c r="C58" s="4"/>
      <c r="D58" s="4"/>
      <c r="E58" s="14"/>
      <c r="F58" s="15"/>
      <c r="G58" s="16"/>
      <c r="H58" s="19" t="str">
        <f aca="false">IF(OR(E58="",AND(F58="",G58="")),"",E58*IF(F58&lt;&gt;"",F58,G58/'Budget du don'!$G$4))</f>
        <v/>
      </c>
      <c r="I58" s="18" t="str">
        <f aca="false">IF(H58="","",H58*'Budget du don'!$G$4)</f>
        <v/>
      </c>
      <c r="J58" s="4"/>
    </row>
    <row r="59" customFormat="false" ht="15" hidden="false" customHeight="false" outlineLevel="0" collapsed="false">
      <c r="A59" s="4"/>
      <c r="B59" s="5"/>
      <c r="C59" s="4"/>
      <c r="D59" s="4"/>
      <c r="E59" s="14"/>
      <c r="F59" s="15"/>
      <c r="G59" s="16"/>
      <c r="H59" s="19" t="str">
        <f aca="false">IF(OR(E59="",AND(F59="",G59="")),"",E59*IF(F59&lt;&gt;"",F59,G59/'Budget du don'!$G$4))</f>
        <v/>
      </c>
      <c r="I59" s="18" t="str">
        <f aca="false">IF(H59="","",H59*'Budget du don'!$G$4)</f>
        <v/>
      </c>
      <c r="J59" s="4"/>
    </row>
    <row r="60" customFormat="false" ht="15" hidden="false" customHeight="false" outlineLevel="0" collapsed="false">
      <c r="A60" s="4"/>
      <c r="B60" s="5"/>
      <c r="C60" s="4"/>
      <c r="D60" s="4"/>
      <c r="E60" s="14"/>
      <c r="F60" s="15"/>
      <c r="G60" s="16"/>
      <c r="H60" s="19" t="str">
        <f aca="false">IF(OR(E60="",AND(F60="",G60="")),"",E60*IF(F60&lt;&gt;"",F60,G60/'Budget du don'!$G$4))</f>
        <v/>
      </c>
      <c r="I60" s="18" t="str">
        <f aca="false">IF(H60="","",H60*'Budget du don'!$G$4)</f>
        <v/>
      </c>
      <c r="J60" s="4"/>
    </row>
    <row r="61" customFormat="false" ht="15" hidden="false" customHeight="false" outlineLevel="0" collapsed="false">
      <c r="A61" s="4"/>
      <c r="B61" s="5"/>
      <c r="C61" s="4"/>
      <c r="D61" s="4"/>
      <c r="E61" s="14"/>
      <c r="F61" s="15"/>
      <c r="G61" s="16"/>
      <c r="H61" s="19" t="str">
        <f aca="false">IF(OR(E61="",AND(F61="",G61="")),"",E61*IF(F61&lt;&gt;"",F61,G61/'Budget du don'!$G$4))</f>
        <v/>
      </c>
      <c r="I61" s="18" t="str">
        <f aca="false">IF(H61="","",H61*'Budget du don'!$G$4)</f>
        <v/>
      </c>
      <c r="J61" s="4"/>
    </row>
    <row r="62" customFormat="false" ht="15" hidden="false" customHeight="false" outlineLevel="0" collapsed="false">
      <c r="A62" s="4"/>
      <c r="B62" s="5"/>
      <c r="C62" s="4"/>
      <c r="D62" s="4"/>
      <c r="E62" s="14"/>
      <c r="F62" s="15"/>
      <c r="G62" s="16"/>
      <c r="H62" s="19" t="str">
        <f aca="false">IF(OR(E62="",AND(F62="",G62="")),"",E62*IF(F62&lt;&gt;"",F62,G62/'Budget du don'!$G$4))</f>
        <v/>
      </c>
      <c r="I62" s="18" t="str">
        <f aca="false">IF(H62="","",H62*'Budget du don'!$G$4)</f>
        <v/>
      </c>
      <c r="J62" s="4"/>
    </row>
    <row r="63" customFormat="false" ht="15" hidden="false" customHeight="false" outlineLevel="0" collapsed="false">
      <c r="A63" s="4"/>
      <c r="B63" s="5"/>
      <c r="C63" s="4"/>
      <c r="D63" s="4"/>
      <c r="E63" s="14"/>
      <c r="F63" s="15"/>
      <c r="G63" s="16"/>
      <c r="H63" s="19" t="str">
        <f aca="false">IF(OR(E63="",AND(F63="",G63="")),"",E63*IF(F63&lt;&gt;"",F63,G63/'Budget du don'!$G$4))</f>
        <v/>
      </c>
      <c r="I63" s="18" t="str">
        <f aca="false">IF(H63="","",H63*'Budget du don'!$G$4)</f>
        <v/>
      </c>
      <c r="J63" s="4"/>
    </row>
    <row r="64" customFormat="false" ht="15" hidden="false" customHeight="false" outlineLevel="0" collapsed="false">
      <c r="A64" s="4"/>
      <c r="B64" s="5"/>
      <c r="C64" s="4"/>
      <c r="D64" s="4"/>
      <c r="E64" s="14"/>
      <c r="F64" s="15"/>
      <c r="G64" s="16"/>
      <c r="H64" s="19" t="str">
        <f aca="false">IF(OR(E64="",AND(F64="",G64="")),"",E64*IF(F64&lt;&gt;"",F64,G64/'Budget du don'!$G$4))</f>
        <v/>
      </c>
      <c r="I64" s="18" t="str">
        <f aca="false">IF(H64="","",H64*'Budget du don'!$G$4)</f>
        <v/>
      </c>
      <c r="J64" s="4"/>
    </row>
    <row r="65" customFormat="false" ht="15" hidden="false" customHeight="false" outlineLevel="0" collapsed="false">
      <c r="A65" s="4"/>
      <c r="B65" s="5"/>
      <c r="C65" s="4"/>
      <c r="D65" s="4"/>
      <c r="E65" s="14"/>
      <c r="F65" s="15"/>
      <c r="G65" s="16"/>
      <c r="H65" s="19" t="str">
        <f aca="false">IF(OR(E65="",AND(F65="",G65="")),"",E65*IF(F65&lt;&gt;"",F65,G65/'Budget du don'!$G$4))</f>
        <v/>
      </c>
      <c r="I65" s="18" t="str">
        <f aca="false">IF(H65="","",H65*'Budget du don'!$G$4)</f>
        <v/>
      </c>
      <c r="J65" s="4"/>
    </row>
    <row r="66" customFormat="false" ht="15" hidden="false" customHeight="false" outlineLevel="0" collapsed="false">
      <c r="A66" s="4"/>
      <c r="B66" s="5"/>
      <c r="C66" s="4"/>
      <c r="D66" s="4"/>
      <c r="E66" s="14"/>
      <c r="F66" s="15"/>
      <c r="G66" s="16"/>
      <c r="H66" s="19" t="str">
        <f aca="false">IF(OR(E66="",AND(F66="",G66="")),"",E66*IF(F66&lt;&gt;"",F66,G66/'Budget du don'!$G$4))</f>
        <v/>
      </c>
      <c r="I66" s="18" t="str">
        <f aca="false">IF(H66="","",H66*'Budget du don'!$G$4)</f>
        <v/>
      </c>
      <c r="J66" s="4"/>
    </row>
    <row r="67" customFormat="false" ht="15" hidden="false" customHeight="false" outlineLevel="0" collapsed="false">
      <c r="A67" s="4"/>
      <c r="B67" s="5"/>
      <c r="C67" s="4"/>
      <c r="D67" s="4"/>
      <c r="E67" s="14"/>
      <c r="F67" s="15"/>
      <c r="G67" s="16"/>
      <c r="H67" s="19" t="str">
        <f aca="false">IF(OR(E67="",AND(F67="",G67="")),"",E67*IF(F67&lt;&gt;"",F67,G67/'Budget du don'!$G$4))</f>
        <v/>
      </c>
      <c r="I67" s="18" t="str">
        <f aca="false">IF(H67="","",H67*'Budget du don'!$G$4)</f>
        <v/>
      </c>
      <c r="J67" s="4"/>
    </row>
    <row r="68" customFormat="false" ht="15" hidden="false" customHeight="false" outlineLevel="0" collapsed="false">
      <c r="A68" s="4"/>
      <c r="B68" s="5"/>
      <c r="C68" s="4"/>
      <c r="D68" s="4"/>
      <c r="E68" s="14"/>
      <c r="F68" s="15"/>
      <c r="G68" s="16"/>
      <c r="H68" s="19" t="str">
        <f aca="false">IF(OR(E68="",AND(F68="",G68="")),"",E68*IF(F68&lt;&gt;"",F68,G68/'Budget du don'!$G$4))</f>
        <v/>
      </c>
      <c r="I68" s="18" t="str">
        <f aca="false">IF(H68="","",H68*'Budget du don'!$G$4)</f>
        <v/>
      </c>
      <c r="J68" s="4"/>
    </row>
    <row r="69" customFormat="false" ht="15" hidden="false" customHeight="false" outlineLevel="0" collapsed="false">
      <c r="A69" s="4"/>
      <c r="B69" s="5"/>
      <c r="C69" s="4"/>
      <c r="D69" s="4"/>
      <c r="E69" s="14"/>
      <c r="F69" s="15"/>
      <c r="G69" s="16"/>
      <c r="H69" s="19" t="str">
        <f aca="false">IF(OR(E69="",AND(F69="",G69="")),"",E69*IF(F69&lt;&gt;"",F69,G69/'Budget du don'!$G$4))</f>
        <v/>
      </c>
      <c r="I69" s="18" t="str">
        <f aca="false">IF(H69="","",H69*'Budget du don'!$G$4)</f>
        <v/>
      </c>
      <c r="J69" s="4"/>
    </row>
    <row r="70" customFormat="false" ht="15" hidden="false" customHeight="false" outlineLevel="0" collapsed="false">
      <c r="A70" s="4"/>
      <c r="B70" s="5"/>
      <c r="C70" s="4"/>
      <c r="D70" s="4"/>
      <c r="E70" s="14"/>
      <c r="F70" s="15"/>
      <c r="G70" s="16"/>
      <c r="H70" s="19" t="str">
        <f aca="false">IF(OR(E70="",AND(F70="",G70="")),"",E70*IF(F70&lt;&gt;"",F70,G70/'Budget du don'!$G$4))</f>
        <v/>
      </c>
      <c r="I70" s="18" t="str">
        <f aca="false">IF(H70="","",H70*'Budget du don'!$G$4)</f>
        <v/>
      </c>
      <c r="J70" s="4"/>
    </row>
    <row r="71" customFormat="false" ht="15" hidden="false" customHeight="false" outlineLevel="0" collapsed="false">
      <c r="A71" s="4"/>
      <c r="B71" s="5"/>
      <c r="C71" s="4"/>
      <c r="D71" s="4"/>
      <c r="E71" s="14"/>
      <c r="F71" s="15"/>
      <c r="G71" s="16"/>
      <c r="H71" s="19" t="str">
        <f aca="false">IF(OR(E71="",AND(F71="",G71="")),"",E71*IF(F71&lt;&gt;"",F71,G71/'Budget du don'!$G$4))</f>
        <v/>
      </c>
      <c r="I71" s="18" t="str">
        <f aca="false">IF(H71="","",H71*'Budget du don'!$G$4)</f>
        <v/>
      </c>
      <c r="J71" s="4"/>
    </row>
    <row r="72" customFormat="false" ht="15" hidden="false" customHeight="false" outlineLevel="0" collapsed="false">
      <c r="A72" s="4"/>
      <c r="B72" s="5"/>
      <c r="C72" s="4"/>
      <c r="D72" s="4"/>
      <c r="E72" s="14"/>
      <c r="F72" s="15"/>
      <c r="G72" s="16"/>
      <c r="H72" s="19" t="str">
        <f aca="false">IF(OR(E72="",AND(F72="",G72="")),"",E72*IF(F72&lt;&gt;"",F72,G72/'Budget du don'!$G$4))</f>
        <v/>
      </c>
      <c r="I72" s="18" t="str">
        <f aca="false">IF(H72="","",H72*'Budget du don'!$G$4)</f>
        <v/>
      </c>
      <c r="J72" s="4"/>
    </row>
    <row r="73" customFormat="false" ht="15" hidden="false" customHeight="false" outlineLevel="0" collapsed="false">
      <c r="A73" s="4"/>
      <c r="B73" s="5"/>
      <c r="C73" s="4"/>
      <c r="D73" s="4"/>
      <c r="E73" s="14"/>
      <c r="F73" s="15"/>
      <c r="G73" s="16"/>
      <c r="H73" s="19" t="str">
        <f aca="false">IF(OR(E73="",AND(F73="",G73="")),"",E73*IF(F73&lt;&gt;"",F73,G73/'Budget du don'!$G$4))</f>
        <v/>
      </c>
      <c r="I73" s="18" t="str">
        <f aca="false">IF(H73="","",H73*'Budget du don'!$G$4)</f>
        <v/>
      </c>
      <c r="J73" s="4"/>
    </row>
    <row r="74" customFormat="false" ht="15" hidden="false" customHeight="false" outlineLevel="0" collapsed="false">
      <c r="A74" s="4"/>
      <c r="B74" s="5"/>
      <c r="C74" s="4"/>
      <c r="D74" s="4"/>
      <c r="E74" s="14"/>
      <c r="F74" s="15"/>
      <c r="G74" s="16"/>
      <c r="H74" s="19" t="str">
        <f aca="false">IF(OR(E74="",AND(F74="",G74="")),"",E74*IF(F74&lt;&gt;"",F74,G74/'Budget du don'!$G$4))</f>
        <v/>
      </c>
      <c r="I74" s="18" t="str">
        <f aca="false">IF(H74="","",H74*'Budget du don'!$G$4)</f>
        <v/>
      </c>
      <c r="J74" s="4"/>
    </row>
    <row r="75" customFormat="false" ht="15" hidden="false" customHeight="false" outlineLevel="0" collapsed="false">
      <c r="A75" s="4"/>
      <c r="B75" s="5"/>
      <c r="C75" s="4"/>
      <c r="D75" s="4"/>
      <c r="E75" s="14"/>
      <c r="F75" s="15"/>
      <c r="G75" s="16"/>
      <c r="H75" s="19" t="str">
        <f aca="false">IF(OR(E75="",AND(F75="",G75="")),"",E75*IF(F75&lt;&gt;"",F75,G75/'Budget du don'!$G$4))</f>
        <v/>
      </c>
      <c r="I75" s="18" t="str">
        <f aca="false">IF(H75="","",H75*'Budget du don'!$G$4)</f>
        <v/>
      </c>
      <c r="J75" s="4"/>
    </row>
    <row r="76" customFormat="false" ht="15" hidden="false" customHeight="false" outlineLevel="0" collapsed="false">
      <c r="A76" s="4"/>
      <c r="B76" s="5"/>
      <c r="C76" s="4"/>
      <c r="D76" s="4"/>
      <c r="E76" s="14"/>
      <c r="F76" s="15"/>
      <c r="G76" s="16"/>
      <c r="H76" s="19" t="str">
        <f aca="false">IF(OR(E76="",AND(F76="",G76="")),"",E76*IF(F76&lt;&gt;"",F76,G76/'Budget du don'!$G$4))</f>
        <v/>
      </c>
      <c r="I76" s="18" t="str">
        <f aca="false">IF(H76="","",H76*'Budget du don'!$G$4)</f>
        <v/>
      </c>
      <c r="J76" s="4"/>
    </row>
    <row r="77" customFormat="false" ht="15" hidden="false" customHeight="false" outlineLevel="0" collapsed="false">
      <c r="A77" s="4"/>
      <c r="B77" s="5"/>
      <c r="C77" s="4"/>
      <c r="D77" s="4"/>
      <c r="E77" s="14"/>
      <c r="F77" s="15"/>
      <c r="G77" s="16"/>
      <c r="H77" s="19" t="str">
        <f aca="false">IF(OR(E77="",AND(F77="",G77="")),"",E77*IF(F77&lt;&gt;"",F77,G77/'Budget du don'!$G$4))</f>
        <v/>
      </c>
      <c r="I77" s="18" t="str">
        <f aca="false">IF(H77="","",H77*'Budget du don'!$G$4)</f>
        <v/>
      </c>
      <c r="J77" s="4"/>
    </row>
    <row r="78" customFormat="false" ht="15" hidden="false" customHeight="false" outlineLevel="0" collapsed="false">
      <c r="A78" s="4"/>
      <c r="B78" s="5"/>
      <c r="C78" s="4"/>
      <c r="D78" s="4"/>
      <c r="E78" s="14"/>
      <c r="F78" s="15"/>
      <c r="G78" s="16"/>
      <c r="H78" s="19" t="str">
        <f aca="false">IF(OR(E78="",AND(F78="",G78="")),"",E78*IF(F78&lt;&gt;"",F78,G78/'Budget du don'!$G$4))</f>
        <v/>
      </c>
      <c r="I78" s="18" t="str">
        <f aca="false">IF(H78="","",H78*'Budget du don'!$G$4)</f>
        <v/>
      </c>
      <c r="J78" s="4"/>
    </row>
    <row r="79" customFormat="false" ht="15" hidden="false" customHeight="false" outlineLevel="0" collapsed="false">
      <c r="A79" s="4"/>
      <c r="B79" s="5"/>
      <c r="C79" s="4"/>
      <c r="D79" s="4"/>
      <c r="E79" s="14"/>
      <c r="F79" s="15"/>
      <c r="G79" s="16"/>
      <c r="H79" s="19" t="str">
        <f aca="false">IF(OR(E79="",AND(F79="",G79="")),"",E79*IF(F79&lt;&gt;"",F79,G79/'Budget du don'!$G$4))</f>
        <v/>
      </c>
      <c r="I79" s="18" t="str">
        <f aca="false">IF(H79="","",H79*'Budget du don'!$G$4)</f>
        <v/>
      </c>
      <c r="J79" s="4"/>
    </row>
    <row r="80" customFormat="false" ht="15" hidden="false" customHeight="false" outlineLevel="0" collapsed="false">
      <c r="A80" s="4"/>
      <c r="B80" s="5"/>
      <c r="C80" s="4"/>
      <c r="D80" s="4"/>
      <c r="E80" s="14"/>
      <c r="F80" s="15"/>
      <c r="G80" s="16"/>
      <c r="H80" s="19" t="str">
        <f aca="false">IF(OR(E80="",AND(F80="",G80="")),"",E80*IF(F80&lt;&gt;"",F80,G80/'Budget du don'!$G$4))</f>
        <v/>
      </c>
      <c r="I80" s="18" t="str">
        <f aca="false">IF(H80="","",H80*'Budget du don'!$G$4)</f>
        <v/>
      </c>
      <c r="J80" s="4"/>
    </row>
    <row r="81" customFormat="false" ht="15" hidden="false" customHeight="false" outlineLevel="0" collapsed="false">
      <c r="A81" s="4"/>
      <c r="B81" s="5"/>
      <c r="C81" s="4"/>
      <c r="D81" s="4"/>
      <c r="E81" s="14"/>
      <c r="F81" s="15"/>
      <c r="G81" s="16"/>
      <c r="H81" s="19" t="str">
        <f aca="false">IF(OR(E81="",AND(F81="",G81="")),"",E81*IF(F81&lt;&gt;"",F81,G81/'Budget du don'!$G$4))</f>
        <v/>
      </c>
      <c r="I81" s="18" t="str">
        <f aca="false">IF(H81="","",H81*'Budget du don'!$G$4)</f>
        <v/>
      </c>
      <c r="J81" s="4"/>
    </row>
    <row r="82" customFormat="false" ht="15" hidden="false" customHeight="false" outlineLevel="0" collapsed="false">
      <c r="A82" s="4"/>
      <c r="B82" s="5"/>
      <c r="C82" s="4"/>
      <c r="D82" s="4"/>
      <c r="E82" s="14"/>
      <c r="F82" s="15"/>
      <c r="G82" s="16"/>
      <c r="H82" s="19" t="str">
        <f aca="false">IF(OR(E82="",AND(F82="",G82="")),"",E82*IF(F82&lt;&gt;"",F82,G82/'Budget du don'!$G$4))</f>
        <v/>
      </c>
      <c r="I82" s="18" t="str">
        <f aca="false">IF(H82="","",H82*'Budget du don'!$G$4)</f>
        <v/>
      </c>
      <c r="J82" s="4"/>
    </row>
    <row r="83" customFormat="false" ht="15" hidden="false" customHeight="false" outlineLevel="0" collapsed="false">
      <c r="A83" s="4"/>
      <c r="B83" s="5"/>
      <c r="C83" s="4"/>
      <c r="D83" s="4"/>
      <c r="E83" s="14"/>
      <c r="F83" s="15"/>
      <c r="G83" s="16"/>
      <c r="H83" s="19" t="str">
        <f aca="false">IF(OR(E83="",AND(F83="",G83="")),"",E83*IF(F83&lt;&gt;"",F83,G83/'Budget du don'!$G$4))</f>
        <v/>
      </c>
      <c r="I83" s="18" t="str">
        <f aca="false">IF(H83="","",H83*'Budget du don'!$G$4)</f>
        <v/>
      </c>
      <c r="J83" s="4"/>
    </row>
    <row r="84" customFormat="false" ht="15" hidden="false" customHeight="false" outlineLevel="0" collapsed="false">
      <c r="A84" s="4"/>
      <c r="B84" s="5"/>
      <c r="C84" s="4"/>
      <c r="D84" s="4"/>
      <c r="E84" s="14"/>
      <c r="F84" s="15"/>
      <c r="G84" s="16"/>
      <c r="H84" s="19" t="str">
        <f aca="false">IF(OR(E84="",AND(F84="",G84="")),"",E84*IF(F84&lt;&gt;"",F84,G84/'Budget du don'!$G$4))</f>
        <v/>
      </c>
      <c r="I84" s="18" t="str">
        <f aca="false">IF(H84="","",H84*'Budget du don'!$G$4)</f>
        <v/>
      </c>
      <c r="J84" s="4"/>
    </row>
    <row r="85" customFormat="false" ht="15" hidden="false" customHeight="false" outlineLevel="0" collapsed="false">
      <c r="A85" s="4"/>
      <c r="B85" s="5"/>
      <c r="C85" s="4"/>
      <c r="D85" s="4"/>
      <c r="E85" s="14"/>
      <c r="F85" s="15"/>
      <c r="G85" s="16"/>
      <c r="H85" s="19" t="str">
        <f aca="false">IF(OR(E85="",AND(F85="",G85="")),"",E85*IF(F85&lt;&gt;"",F85,G85/'Budget du don'!$G$4))</f>
        <v/>
      </c>
      <c r="I85" s="18" t="str">
        <f aca="false">IF(H85="","",H85*'Budget du don'!$G$4)</f>
        <v/>
      </c>
      <c r="J85" s="4"/>
    </row>
    <row r="86" customFormat="false" ht="15" hidden="false" customHeight="false" outlineLevel="0" collapsed="false">
      <c r="A86" s="4"/>
      <c r="B86" s="5"/>
      <c r="C86" s="4"/>
      <c r="D86" s="4"/>
      <c r="E86" s="14"/>
      <c r="F86" s="15"/>
      <c r="G86" s="16"/>
      <c r="H86" s="19" t="str">
        <f aca="false">IF(OR(E86="",AND(F86="",G86="")),"",E86*IF(F86&lt;&gt;"",F86,G86/'Budget du don'!$G$4))</f>
        <v/>
      </c>
      <c r="I86" s="18" t="str">
        <f aca="false">IF(H86="","",H86*'Budget du don'!$G$4)</f>
        <v/>
      </c>
      <c r="J86" s="4"/>
    </row>
    <row r="87" customFormat="false" ht="15" hidden="false" customHeight="false" outlineLevel="0" collapsed="false">
      <c r="A87" s="4"/>
      <c r="B87" s="5"/>
      <c r="C87" s="4"/>
      <c r="D87" s="4"/>
      <c r="E87" s="14"/>
      <c r="F87" s="15"/>
      <c r="G87" s="16"/>
      <c r="H87" s="19" t="str">
        <f aca="false">IF(OR(E87="",AND(F87="",G87="")),"",E87*IF(F87&lt;&gt;"",F87,G87/'Budget du don'!$G$4))</f>
        <v/>
      </c>
      <c r="I87" s="18" t="str">
        <f aca="false">IF(H87="","",H87*'Budget du don'!$G$4)</f>
        <v/>
      </c>
      <c r="J87" s="4"/>
    </row>
    <row r="88" customFormat="false" ht="15" hidden="false" customHeight="false" outlineLevel="0" collapsed="false">
      <c r="A88" s="4"/>
      <c r="B88" s="5"/>
      <c r="C88" s="4"/>
      <c r="D88" s="4"/>
      <c r="E88" s="14"/>
      <c r="F88" s="15"/>
      <c r="G88" s="16"/>
      <c r="H88" s="19" t="str">
        <f aca="false">IF(OR(E88="",AND(F88="",G88="")),"",E88*IF(F88&lt;&gt;"",F88,G88/'Budget du don'!$G$4))</f>
        <v/>
      </c>
      <c r="I88" s="18" t="str">
        <f aca="false">IF(H88="","",H88*'Budget du don'!$G$4)</f>
        <v/>
      </c>
      <c r="J88" s="4"/>
    </row>
    <row r="89" customFormat="false" ht="15" hidden="false" customHeight="false" outlineLevel="0" collapsed="false">
      <c r="A89" s="4"/>
      <c r="B89" s="5"/>
      <c r="C89" s="4"/>
      <c r="D89" s="4"/>
      <c r="E89" s="14"/>
      <c r="F89" s="15"/>
      <c r="G89" s="16"/>
      <c r="H89" s="19" t="str">
        <f aca="false">IF(OR(E89="",AND(F89="",G89="")),"",E89*IF(F89&lt;&gt;"",F89,G89/'Budget du don'!$G$4))</f>
        <v/>
      </c>
      <c r="I89" s="18" t="str">
        <f aca="false">IF(H89="","",H89*'Budget du don'!$G$4)</f>
        <v/>
      </c>
      <c r="J89" s="4"/>
    </row>
    <row r="90" customFormat="false" ht="15" hidden="false" customHeight="false" outlineLevel="0" collapsed="false">
      <c r="A90" s="4"/>
      <c r="B90" s="5"/>
      <c r="C90" s="4"/>
      <c r="D90" s="4"/>
      <c r="E90" s="14"/>
      <c r="F90" s="15"/>
      <c r="G90" s="16"/>
      <c r="H90" s="19" t="str">
        <f aca="false">IF(OR(E90="",AND(F90="",G90="")),"",E90*IF(F90&lt;&gt;"",F90,G90/'Budget du don'!$G$4))</f>
        <v/>
      </c>
      <c r="I90" s="18" t="str">
        <f aca="false">IF(H90="","",H90*'Budget du don'!$G$4)</f>
        <v/>
      </c>
      <c r="J90" s="4"/>
    </row>
    <row r="91" customFormat="false" ht="15" hidden="false" customHeight="false" outlineLevel="0" collapsed="false">
      <c r="A91" s="4"/>
      <c r="B91" s="5"/>
      <c r="C91" s="4"/>
      <c r="D91" s="4"/>
      <c r="E91" s="14"/>
      <c r="F91" s="15"/>
      <c r="G91" s="16"/>
      <c r="H91" s="19" t="str">
        <f aca="false">IF(OR(E91="",AND(F91="",G91="")),"",E91*IF(F91&lt;&gt;"",F91,G91/'Budget du don'!$G$4))</f>
        <v/>
      </c>
      <c r="I91" s="18" t="str">
        <f aca="false">IF(H91="","",H91*'Budget du don'!$G$4)</f>
        <v/>
      </c>
      <c r="J91" s="4"/>
    </row>
    <row r="92" customFormat="false" ht="15" hidden="false" customHeight="false" outlineLevel="0" collapsed="false">
      <c r="A92" s="4"/>
      <c r="B92" s="5"/>
      <c r="C92" s="4"/>
      <c r="D92" s="4"/>
      <c r="E92" s="14"/>
      <c r="F92" s="15"/>
      <c r="G92" s="16"/>
      <c r="H92" s="19" t="str">
        <f aca="false">IF(OR(E92="",AND(F92="",G92="")),"",E92*IF(F92&lt;&gt;"",F92,G92/'Budget du don'!$G$4))</f>
        <v/>
      </c>
      <c r="I92" s="18" t="str">
        <f aca="false">IF(H92="","",H92*'Budget du don'!$G$4)</f>
        <v/>
      </c>
      <c r="J92" s="4"/>
    </row>
    <row r="93" customFormat="false" ht="15" hidden="false" customHeight="false" outlineLevel="0" collapsed="false">
      <c r="A93" s="4"/>
      <c r="B93" s="5"/>
      <c r="C93" s="4"/>
      <c r="D93" s="4"/>
      <c r="E93" s="14"/>
      <c r="F93" s="15"/>
      <c r="G93" s="16"/>
      <c r="H93" s="19" t="str">
        <f aca="false">IF(OR(E93="",AND(F93="",G93="")),"",E93*IF(F93&lt;&gt;"",F93,G93/'Budget du don'!$G$4))</f>
        <v/>
      </c>
      <c r="I93" s="18" t="str">
        <f aca="false">IF(H93="","",H93*'Budget du don'!$G$4)</f>
        <v/>
      </c>
      <c r="J93" s="4"/>
    </row>
    <row r="94" customFormat="false" ht="15" hidden="false" customHeight="false" outlineLevel="0" collapsed="false">
      <c r="A94" s="4"/>
      <c r="B94" s="5"/>
      <c r="C94" s="4"/>
      <c r="D94" s="4"/>
      <c r="E94" s="14"/>
      <c r="F94" s="15"/>
      <c r="G94" s="16"/>
      <c r="H94" s="19" t="str">
        <f aca="false">IF(OR(E94="",AND(F94="",G94="")),"",E94*IF(F94&lt;&gt;"",F94,G94/'Budget du don'!$G$4))</f>
        <v/>
      </c>
      <c r="I94" s="18" t="str">
        <f aca="false">IF(H94="","",H94*'Budget du don'!$G$4)</f>
        <v/>
      </c>
      <c r="J94" s="4"/>
    </row>
    <row r="95" customFormat="false" ht="15" hidden="false" customHeight="false" outlineLevel="0" collapsed="false">
      <c r="A95" s="4"/>
      <c r="B95" s="5"/>
      <c r="C95" s="4"/>
      <c r="D95" s="4"/>
      <c r="E95" s="14"/>
      <c r="F95" s="15"/>
      <c r="G95" s="16"/>
      <c r="H95" s="19" t="str">
        <f aca="false">IF(OR(E95="",AND(F95="",G95="")),"",E95*IF(F95&lt;&gt;"",F95,G95/'Budget du don'!$G$4))</f>
        <v/>
      </c>
      <c r="I95" s="18" t="str">
        <f aca="false">IF(H95="","",H95*'Budget du don'!$G$4)</f>
        <v/>
      </c>
      <c r="J95" s="4"/>
    </row>
    <row r="96" customFormat="false" ht="15" hidden="false" customHeight="false" outlineLevel="0" collapsed="false">
      <c r="A96" s="4"/>
      <c r="B96" s="5"/>
      <c r="C96" s="4"/>
      <c r="D96" s="4"/>
      <c r="E96" s="14"/>
      <c r="F96" s="15"/>
      <c r="G96" s="16"/>
      <c r="H96" s="19" t="str">
        <f aca="false">IF(OR(E96="",AND(F96="",G96="")),"",E96*IF(F96&lt;&gt;"",F96,G96/'Budget du don'!$G$4))</f>
        <v/>
      </c>
      <c r="I96" s="18" t="str">
        <f aca="false">IF(H96="","",H96*'Budget du don'!$G$4)</f>
        <v/>
      </c>
      <c r="J96" s="4"/>
    </row>
    <row r="97" customFormat="false" ht="15" hidden="false" customHeight="false" outlineLevel="0" collapsed="false">
      <c r="A97" s="4"/>
      <c r="B97" s="5"/>
      <c r="C97" s="4"/>
      <c r="D97" s="4"/>
      <c r="E97" s="14"/>
      <c r="F97" s="15"/>
      <c r="G97" s="16"/>
      <c r="H97" s="19" t="str">
        <f aca="false">IF(OR(E97="",AND(F97="",G97="")),"",E97*IF(F97&lt;&gt;"",F97,G97/'Budget du don'!$G$4))</f>
        <v/>
      </c>
      <c r="I97" s="18" t="str">
        <f aca="false">IF(H97="","",H97*'Budget du don'!$G$4)</f>
        <v/>
      </c>
      <c r="J97" s="4"/>
    </row>
    <row r="98" customFormat="false" ht="15" hidden="false" customHeight="false" outlineLevel="0" collapsed="false">
      <c r="A98" s="4"/>
      <c r="B98" s="5"/>
      <c r="C98" s="4"/>
      <c r="D98" s="4"/>
      <c r="E98" s="14"/>
      <c r="F98" s="15"/>
      <c r="G98" s="16"/>
      <c r="H98" s="19" t="str">
        <f aca="false">IF(OR(E98="",AND(F98="",G98="")),"",E98*IF(F98&lt;&gt;"",F98,G98/'Budget du don'!$G$4))</f>
        <v/>
      </c>
      <c r="I98" s="18" t="str">
        <f aca="false">IF(H98="","",H98*'Budget du don'!$G$4)</f>
        <v/>
      </c>
      <c r="J98" s="4"/>
    </row>
    <row r="99" customFormat="false" ht="15" hidden="false" customHeight="false" outlineLevel="0" collapsed="false">
      <c r="A99" s="4"/>
      <c r="B99" s="5"/>
      <c r="C99" s="4"/>
      <c r="D99" s="4"/>
      <c r="E99" s="14"/>
      <c r="F99" s="15"/>
      <c r="G99" s="16"/>
      <c r="H99" s="19" t="str">
        <f aca="false">IF(OR(E99="",AND(F99="",G99="")),"",E99*IF(F99&lt;&gt;"",F99,G99/'Budget du don'!$G$4))</f>
        <v/>
      </c>
      <c r="I99" s="18" t="str">
        <f aca="false">IF(H99="","",H99*'Budget du don'!$G$4)</f>
        <v/>
      </c>
      <c r="J99" s="4"/>
    </row>
    <row r="100" customFormat="false" ht="15" hidden="false" customHeight="false" outlineLevel="0" collapsed="false">
      <c r="A100" s="4"/>
      <c r="B100" s="5"/>
      <c r="C100" s="4"/>
      <c r="D100" s="4"/>
      <c r="E100" s="14"/>
      <c r="F100" s="15"/>
      <c r="G100" s="16"/>
      <c r="H100" s="19" t="str">
        <f aca="false">IF(OR(E100="",AND(F100="",G100="")),"",E100*IF(F100&lt;&gt;"",F100,G100/'Budget du don'!$G$4))</f>
        <v/>
      </c>
      <c r="I100" s="18" t="str">
        <f aca="false">IF(H100="","",H100*'Budget du don'!$G$4)</f>
        <v/>
      </c>
      <c r="J100" s="4"/>
    </row>
    <row r="101" customFormat="false" ht="15" hidden="false" customHeight="false" outlineLevel="0" collapsed="false">
      <c r="A101" s="4"/>
      <c r="B101" s="5"/>
      <c r="C101" s="4"/>
      <c r="D101" s="4"/>
      <c r="E101" s="14"/>
      <c r="F101" s="15"/>
      <c r="G101" s="16"/>
      <c r="H101" s="19" t="str">
        <f aca="false">IF(OR(E101="",AND(F101="",G101="")),"",E101*IF(F101&lt;&gt;"",F101,G101/'Budget du don'!$G$4))</f>
        <v/>
      </c>
      <c r="I101" s="18" t="str">
        <f aca="false">IF(H101="","",H101*'Budget du don'!$G$4)</f>
        <v/>
      </c>
      <c r="J101" s="4"/>
    </row>
    <row r="102" customFormat="false" ht="15" hidden="false" customHeight="false" outlineLevel="0" collapsed="false">
      <c r="A102" s="4"/>
      <c r="B102" s="5"/>
      <c r="C102" s="4"/>
      <c r="D102" s="4"/>
      <c r="E102" s="14"/>
      <c r="F102" s="15"/>
      <c r="G102" s="16"/>
      <c r="H102" s="19" t="str">
        <f aca="false">IF(OR(E102="",AND(F102="",G102="")),"",E102*IF(F102&lt;&gt;"",F102,G102/'Budget du don'!$G$4))</f>
        <v/>
      </c>
      <c r="I102" s="18" t="str">
        <f aca="false">IF(H102="","",H102*'Budget du don'!$G$4)</f>
        <v/>
      </c>
      <c r="J102" s="4"/>
    </row>
    <row r="103" customFormat="false" ht="15" hidden="false" customHeight="false" outlineLevel="0" collapsed="false">
      <c r="A103" s="4"/>
      <c r="B103" s="5"/>
      <c r="C103" s="4"/>
      <c r="D103" s="4"/>
      <c r="E103" s="14"/>
      <c r="F103" s="15"/>
      <c r="G103" s="16"/>
      <c r="H103" s="19" t="str">
        <f aca="false">IF(OR(E103="",AND(F103="",G103="")),"",E103*IF(F103&lt;&gt;"",F103,G103/'Budget du don'!$G$4))</f>
        <v/>
      </c>
      <c r="I103" s="18" t="str">
        <f aca="false">IF(H103="","",H103*'Budget du don'!$G$4)</f>
        <v/>
      </c>
      <c r="J103" s="4"/>
    </row>
    <row r="104" customFormat="false" ht="15" hidden="false" customHeight="false" outlineLevel="0" collapsed="false">
      <c r="A104" s="4"/>
      <c r="B104" s="5"/>
      <c r="C104" s="4"/>
      <c r="D104" s="4"/>
      <c r="E104" s="14"/>
      <c r="F104" s="15"/>
      <c r="G104" s="16"/>
      <c r="H104" s="19" t="str">
        <f aca="false">IF(OR(E104="",AND(F104="",G104="")),"",E104*IF(F104&lt;&gt;"",F104,G104/'Budget du don'!$G$4))</f>
        <v/>
      </c>
      <c r="I104" s="18" t="str">
        <f aca="false">IF(H104="","",H104*'Budget du don'!$G$4)</f>
        <v/>
      </c>
      <c r="J104" s="4"/>
    </row>
    <row r="105" customFormat="false" ht="15" hidden="false" customHeight="false" outlineLevel="0" collapsed="false">
      <c r="A105" s="4"/>
      <c r="B105" s="5"/>
      <c r="C105" s="4"/>
      <c r="D105" s="4"/>
      <c r="E105" s="14"/>
      <c r="F105" s="15"/>
      <c r="G105" s="16"/>
      <c r="H105" s="19" t="str">
        <f aca="false">IF(OR(E105="",AND(F105="",G105="")),"",E105*IF(F105&lt;&gt;"",F105,G105/'Budget du don'!$G$4))</f>
        <v/>
      </c>
      <c r="I105" s="18" t="str">
        <f aca="false">IF(H105="","",H105*'Budget du don'!$G$4)</f>
        <v/>
      </c>
      <c r="J105" s="4"/>
    </row>
    <row r="106" customFormat="false" ht="15" hidden="false" customHeight="false" outlineLevel="0" collapsed="false">
      <c r="A106" s="4"/>
      <c r="B106" s="5"/>
      <c r="C106" s="4"/>
      <c r="D106" s="4"/>
      <c r="E106" s="14"/>
      <c r="F106" s="15"/>
      <c r="G106" s="16"/>
      <c r="H106" s="19" t="str">
        <f aca="false">IF(OR(E106="",AND(F106="",G106="")),"",E106*IF(F106&lt;&gt;"",F106,G106/'Budget du don'!$G$4))</f>
        <v/>
      </c>
      <c r="I106" s="18" t="str">
        <f aca="false">IF(H106="","",H106*'Budget du don'!$G$4)</f>
        <v/>
      </c>
      <c r="J106" s="4"/>
    </row>
    <row r="107" customFormat="false" ht="15" hidden="false" customHeight="false" outlineLevel="0" collapsed="false">
      <c r="A107" s="4"/>
      <c r="B107" s="5"/>
      <c r="C107" s="4"/>
      <c r="D107" s="4"/>
      <c r="E107" s="14"/>
      <c r="F107" s="15"/>
      <c r="G107" s="16"/>
      <c r="H107" s="19" t="str">
        <f aca="false">IF(OR(E107="",AND(F107="",G107="")),"",E107*IF(F107&lt;&gt;"",F107,G107/'Budget du don'!$G$4))</f>
        <v/>
      </c>
      <c r="I107" s="18" t="str">
        <f aca="false">IF(H107="","",H107*'Budget du don'!$G$4)</f>
        <v/>
      </c>
      <c r="J107" s="4"/>
    </row>
    <row r="108" customFormat="false" ht="15" hidden="false" customHeight="false" outlineLevel="0" collapsed="false">
      <c r="A108" s="4"/>
      <c r="B108" s="5"/>
      <c r="C108" s="4"/>
      <c r="D108" s="4"/>
      <c r="E108" s="14"/>
      <c r="F108" s="15"/>
      <c r="G108" s="16"/>
      <c r="H108" s="19" t="str">
        <f aca="false">IF(OR(E108="",AND(F108="",G108="")),"",E108*IF(F108&lt;&gt;"",F108,G108/'Budget du don'!$G$4))</f>
        <v/>
      </c>
      <c r="I108" s="18" t="str">
        <f aca="false">IF(H108="","",H108*'Budget du don'!$G$4)</f>
        <v/>
      </c>
      <c r="J108" s="4"/>
    </row>
    <row r="109" customFormat="false" ht="15" hidden="false" customHeight="false" outlineLevel="0" collapsed="false">
      <c r="A109" s="4"/>
      <c r="B109" s="5"/>
      <c r="C109" s="4"/>
      <c r="D109" s="4"/>
      <c r="E109" s="14"/>
      <c r="F109" s="15"/>
      <c r="G109" s="16"/>
      <c r="H109" s="19" t="str">
        <f aca="false">IF(OR(E109="",AND(F109="",G109="")),"",E109*IF(F109&lt;&gt;"",F109,G109/'Budget du don'!$G$4))</f>
        <v/>
      </c>
      <c r="I109" s="18" t="str">
        <f aca="false">IF(H109="","",H109*'Budget du don'!$G$4)</f>
        <v/>
      </c>
      <c r="J109" s="4"/>
    </row>
    <row r="110" customFormat="false" ht="15" hidden="false" customHeight="false" outlineLevel="0" collapsed="false">
      <c r="A110" s="4"/>
      <c r="B110" s="5"/>
      <c r="C110" s="4"/>
      <c r="D110" s="4"/>
      <c r="E110" s="14"/>
      <c r="F110" s="15"/>
      <c r="G110" s="16"/>
      <c r="H110" s="19" t="str">
        <f aca="false">IF(OR(E110="",AND(F110="",G110="")),"",E110*IF(F110&lt;&gt;"",F110,G110/'Budget du don'!$G$4))</f>
        <v/>
      </c>
      <c r="I110" s="18" t="str">
        <f aca="false">IF(H110="","",H110*'Budget du don'!$G$4)</f>
        <v/>
      </c>
      <c r="J110" s="4"/>
    </row>
    <row r="111" customFormat="false" ht="15" hidden="false" customHeight="false" outlineLevel="0" collapsed="false">
      <c r="A111" s="4"/>
      <c r="B111" s="5"/>
      <c r="C111" s="4"/>
      <c r="D111" s="4"/>
      <c r="E111" s="14"/>
      <c r="F111" s="15"/>
      <c r="G111" s="16"/>
      <c r="H111" s="19" t="str">
        <f aca="false">IF(OR(E111="",AND(F111="",G111="")),"",E111*IF(F111&lt;&gt;"",F111,G111/'Budget du don'!$G$4))</f>
        <v/>
      </c>
      <c r="I111" s="18" t="str">
        <f aca="false">IF(H111="","",H111*'Budget du don'!$G$4)</f>
        <v/>
      </c>
      <c r="J111" s="4"/>
    </row>
    <row r="112" customFormat="false" ht="15" hidden="false" customHeight="false" outlineLevel="0" collapsed="false">
      <c r="A112" s="4"/>
      <c r="B112" s="5"/>
      <c r="C112" s="4"/>
      <c r="D112" s="4"/>
      <c r="E112" s="14"/>
      <c r="F112" s="15"/>
      <c r="G112" s="16"/>
      <c r="H112" s="19" t="str">
        <f aca="false">IF(OR(E112="",AND(F112="",G112="")),"",E112*IF(F112&lt;&gt;"",F112,G112/'Budget du don'!$G$4))</f>
        <v/>
      </c>
      <c r="I112" s="18" t="str">
        <f aca="false">IF(H112="","",H112*'Budget du don'!$G$4)</f>
        <v/>
      </c>
      <c r="J112" s="4"/>
    </row>
    <row r="113" customFormat="false" ht="15" hidden="false" customHeight="false" outlineLevel="0" collapsed="false">
      <c r="A113" s="4"/>
      <c r="B113" s="5"/>
      <c r="C113" s="4"/>
      <c r="D113" s="4"/>
      <c r="E113" s="14"/>
      <c r="F113" s="15"/>
      <c r="G113" s="16"/>
      <c r="H113" s="19" t="str">
        <f aca="false">IF(OR(E113="",AND(F113="",G113="")),"",E113*IF(F113&lt;&gt;"",F113,G113/'Budget du don'!$G$4))</f>
        <v/>
      </c>
      <c r="I113" s="18" t="str">
        <f aca="false">IF(H113="","",H113*'Budget du don'!$G$4)</f>
        <v/>
      </c>
      <c r="J113" s="4"/>
    </row>
    <row r="114" customFormat="false" ht="15" hidden="false" customHeight="false" outlineLevel="0" collapsed="false">
      <c r="A114" s="4"/>
      <c r="B114" s="5"/>
      <c r="C114" s="4"/>
      <c r="D114" s="4"/>
      <c r="E114" s="14"/>
      <c r="F114" s="15"/>
      <c r="G114" s="16"/>
      <c r="H114" s="19" t="str">
        <f aca="false">IF(OR(E114="",AND(F114="",G114="")),"",E114*IF(F114&lt;&gt;"",F114,G114/'Budget du don'!$G$4))</f>
        <v/>
      </c>
      <c r="I114" s="18" t="str">
        <f aca="false">IF(H114="","",H114*'Budget du don'!$G$4)</f>
        <v/>
      </c>
      <c r="J114" s="4"/>
    </row>
    <row r="115" customFormat="false" ht="15" hidden="false" customHeight="false" outlineLevel="0" collapsed="false">
      <c r="A115" s="4"/>
      <c r="B115" s="5"/>
      <c r="C115" s="4"/>
      <c r="D115" s="4"/>
      <c r="E115" s="14"/>
      <c r="F115" s="15"/>
      <c r="G115" s="16"/>
      <c r="H115" s="19" t="str">
        <f aca="false">IF(OR(E115="",AND(F115="",G115="")),"",E115*IF(F115&lt;&gt;"",F115,G115/'Budget du don'!$G$4))</f>
        <v/>
      </c>
      <c r="I115" s="18" t="str">
        <f aca="false">IF(H115="","",H115*'Budget du don'!$G$4)</f>
        <v/>
      </c>
      <c r="J115" s="4"/>
    </row>
    <row r="116" customFormat="false" ht="15" hidden="false" customHeight="false" outlineLevel="0" collapsed="false">
      <c r="A116" s="4"/>
      <c r="B116" s="5"/>
      <c r="C116" s="4"/>
      <c r="D116" s="4"/>
      <c r="E116" s="14"/>
      <c r="F116" s="15"/>
      <c r="G116" s="16"/>
      <c r="H116" s="19" t="str">
        <f aca="false">IF(OR(E116="",AND(F116="",G116="")),"",E116*IF(F116&lt;&gt;"",F116,G116/'Budget du don'!$G$4))</f>
        <v/>
      </c>
      <c r="I116" s="18" t="str">
        <f aca="false">IF(H116="","",H116*'Budget du don'!$G$4)</f>
        <v/>
      </c>
      <c r="J116" s="4"/>
    </row>
    <row r="117" customFormat="false" ht="15" hidden="false" customHeight="false" outlineLevel="0" collapsed="false">
      <c r="A117" s="4"/>
      <c r="B117" s="5"/>
      <c r="C117" s="4"/>
      <c r="D117" s="4"/>
      <c r="E117" s="14"/>
      <c r="F117" s="15"/>
      <c r="G117" s="16"/>
      <c r="H117" s="19" t="str">
        <f aca="false">IF(OR(E117="",AND(F117="",G117="")),"",E117*IF(F117&lt;&gt;"",F117,G117/'Budget du don'!$G$4))</f>
        <v/>
      </c>
      <c r="I117" s="18" t="str">
        <f aca="false">IF(H117="","",H117*'Budget du don'!$G$4)</f>
        <v/>
      </c>
      <c r="J117" s="4"/>
    </row>
    <row r="118" customFormat="false" ht="15" hidden="false" customHeight="false" outlineLevel="0" collapsed="false">
      <c r="A118" s="4"/>
      <c r="B118" s="5"/>
      <c r="C118" s="4"/>
      <c r="D118" s="4"/>
      <c r="E118" s="14"/>
      <c r="F118" s="15"/>
      <c r="G118" s="16"/>
      <c r="H118" s="19" t="str">
        <f aca="false">IF(OR(E118="",AND(F118="",G118="")),"",E118*IF(F118&lt;&gt;"",F118,G118/'Budget du don'!$G$4))</f>
        <v/>
      </c>
      <c r="I118" s="18" t="str">
        <f aca="false">IF(H118="","",H118*'Budget du don'!$G$4)</f>
        <v/>
      </c>
      <c r="J118" s="4"/>
    </row>
    <row r="119" customFormat="false" ht="15" hidden="false" customHeight="false" outlineLevel="0" collapsed="false">
      <c r="A119" s="4"/>
      <c r="B119" s="5"/>
      <c r="C119" s="4"/>
      <c r="D119" s="4"/>
      <c r="E119" s="14"/>
      <c r="F119" s="15"/>
      <c r="G119" s="16"/>
      <c r="H119" s="19" t="str">
        <f aca="false">IF(OR(E119="",AND(F119="",G119="")),"",E119*IF(F119&lt;&gt;"",F119,G119/'Budget du don'!$G$4))</f>
        <v/>
      </c>
      <c r="I119" s="18" t="str">
        <f aca="false">IF(H119="","",H119*'Budget du don'!$G$4)</f>
        <v/>
      </c>
      <c r="J119" s="4"/>
    </row>
    <row r="120" customFormat="false" ht="15" hidden="false" customHeight="false" outlineLevel="0" collapsed="false">
      <c r="A120" s="4"/>
      <c r="B120" s="5"/>
      <c r="C120" s="4"/>
      <c r="D120" s="4"/>
      <c r="E120" s="14"/>
      <c r="F120" s="15"/>
      <c r="G120" s="16"/>
      <c r="H120" s="19" t="str">
        <f aca="false">IF(OR(E120="",AND(F120="",G120="")),"",E120*IF(F120&lt;&gt;"",F120,G120/'Budget du don'!$G$4))</f>
        <v/>
      </c>
      <c r="I120" s="18" t="str">
        <f aca="false">IF(H120="","",H120*'Budget du don'!$G$4)</f>
        <v/>
      </c>
      <c r="J120" s="4"/>
    </row>
    <row r="121" customFormat="false" ht="15" hidden="false" customHeight="false" outlineLevel="0" collapsed="false">
      <c r="A121" s="4"/>
      <c r="B121" s="5"/>
      <c r="C121" s="4"/>
      <c r="D121" s="4"/>
      <c r="E121" s="14"/>
      <c r="F121" s="15"/>
      <c r="G121" s="16"/>
      <c r="H121" s="19" t="str">
        <f aca="false">IF(OR(E121="",AND(F121="",G121="")),"",E121*IF(F121&lt;&gt;"",F121,G121/'Budget du don'!$G$4))</f>
        <v/>
      </c>
      <c r="I121" s="18" t="str">
        <f aca="false">IF(H121="","",H121*'Budget du don'!$G$4)</f>
        <v/>
      </c>
      <c r="J121" s="4"/>
    </row>
    <row r="122" customFormat="false" ht="15" hidden="false" customHeight="false" outlineLevel="0" collapsed="false">
      <c r="A122" s="4"/>
      <c r="B122" s="5"/>
      <c r="C122" s="4"/>
      <c r="D122" s="4"/>
      <c r="E122" s="14"/>
      <c r="F122" s="15"/>
      <c r="G122" s="16"/>
      <c r="H122" s="19" t="str">
        <f aca="false">IF(OR(E122="",AND(F122="",G122="")),"",E122*IF(F122&lt;&gt;"",F122,G122/'Budget du don'!$G$4))</f>
        <v/>
      </c>
      <c r="I122" s="18" t="str">
        <f aca="false">IF(H122="","",H122*'Budget du don'!$G$4)</f>
        <v/>
      </c>
      <c r="J122" s="4"/>
    </row>
    <row r="123" customFormat="false" ht="15" hidden="false" customHeight="false" outlineLevel="0" collapsed="false">
      <c r="A123" s="4"/>
      <c r="B123" s="5"/>
      <c r="C123" s="4"/>
      <c r="D123" s="4"/>
      <c r="E123" s="14"/>
      <c r="F123" s="15"/>
      <c r="G123" s="16"/>
      <c r="H123" s="19" t="str">
        <f aca="false">IF(OR(E123="",AND(F123="",G123="")),"",E123*IF(F123&lt;&gt;"",F123,G123/'Budget du don'!$G$4))</f>
        <v/>
      </c>
      <c r="I123" s="18" t="str">
        <f aca="false">IF(H123="","",H123*'Budget du don'!$G$4)</f>
        <v/>
      </c>
      <c r="J123" s="4"/>
    </row>
    <row r="124" customFormat="false" ht="15" hidden="false" customHeight="false" outlineLevel="0" collapsed="false">
      <c r="A124" s="4"/>
      <c r="B124" s="5"/>
      <c r="C124" s="4"/>
      <c r="D124" s="4"/>
      <c r="E124" s="14"/>
      <c r="F124" s="15"/>
      <c r="G124" s="16"/>
      <c r="H124" s="19" t="str">
        <f aca="false">IF(OR(E124="",AND(F124="",G124="")),"",E124*IF(F124&lt;&gt;"",F124,G124/'Budget du don'!$G$4))</f>
        <v/>
      </c>
      <c r="I124" s="18" t="str">
        <f aca="false">IF(H124="","",H124*'Budget du don'!$G$4)</f>
        <v/>
      </c>
      <c r="J124" s="4"/>
    </row>
    <row r="125" customFormat="false" ht="15" hidden="false" customHeight="false" outlineLevel="0" collapsed="false">
      <c r="A125" s="4"/>
      <c r="B125" s="5"/>
      <c r="C125" s="4"/>
      <c r="D125" s="4"/>
      <c r="E125" s="14"/>
      <c r="F125" s="15"/>
      <c r="G125" s="16"/>
      <c r="H125" s="19" t="str">
        <f aca="false">IF(OR(E125="",AND(F125="",G125="")),"",E125*IF(F125&lt;&gt;"",F125,G125/'Budget du don'!$G$4))</f>
        <v/>
      </c>
      <c r="I125" s="18" t="str">
        <f aca="false">IF(H125="","",H125*'Budget du don'!$G$4)</f>
        <v/>
      </c>
      <c r="J125" s="4"/>
    </row>
    <row r="126" customFormat="false" ht="15" hidden="false" customHeight="false" outlineLevel="0" collapsed="false">
      <c r="A126" s="4"/>
      <c r="B126" s="5"/>
      <c r="C126" s="4"/>
      <c r="D126" s="4"/>
      <c r="E126" s="14"/>
      <c r="F126" s="15"/>
      <c r="G126" s="16"/>
      <c r="H126" s="19" t="str">
        <f aca="false">IF(OR(E126="",AND(F126="",G126="")),"",E126*IF(F126&lt;&gt;"",F126,G126/'Budget du don'!$G$4))</f>
        <v/>
      </c>
      <c r="I126" s="18" t="str">
        <f aca="false">IF(H126="","",H126*'Budget du don'!$G$4)</f>
        <v/>
      </c>
      <c r="J126" s="4"/>
    </row>
    <row r="127" customFormat="false" ht="15" hidden="false" customHeight="false" outlineLevel="0" collapsed="false">
      <c r="A127" s="4"/>
      <c r="B127" s="5"/>
      <c r="C127" s="4"/>
      <c r="D127" s="4"/>
      <c r="E127" s="14"/>
      <c r="F127" s="15"/>
      <c r="G127" s="16"/>
      <c r="H127" s="19" t="str">
        <f aca="false">IF(OR(E127="",AND(F127="",G127="")),"",E127*IF(F127&lt;&gt;"",F127,G127/'Budget du don'!$G$4))</f>
        <v/>
      </c>
      <c r="I127" s="18" t="str">
        <f aca="false">IF(H127="","",H127*'Budget du don'!$G$4)</f>
        <v/>
      </c>
      <c r="J127" s="4"/>
    </row>
    <row r="128" customFormat="false" ht="15" hidden="false" customHeight="false" outlineLevel="0" collapsed="false">
      <c r="A128" s="4"/>
      <c r="B128" s="5"/>
      <c r="C128" s="4"/>
      <c r="D128" s="4"/>
      <c r="E128" s="14"/>
      <c r="F128" s="15"/>
      <c r="G128" s="16"/>
      <c r="H128" s="19" t="str">
        <f aca="false">IF(OR(E128="",AND(F128="",G128="")),"",E128*IF(F128&lt;&gt;"",F128,G128/'Budget du don'!$G$4))</f>
        <v/>
      </c>
      <c r="I128" s="18" t="str">
        <f aca="false">IF(H128="","",H128*'Budget du don'!$G$4)</f>
        <v/>
      </c>
      <c r="J128" s="4"/>
    </row>
    <row r="129" customFormat="false" ht="15" hidden="false" customHeight="false" outlineLevel="0" collapsed="false">
      <c r="A129" s="4"/>
      <c r="B129" s="5"/>
      <c r="C129" s="4"/>
      <c r="D129" s="4"/>
      <c r="E129" s="14"/>
      <c r="F129" s="15"/>
      <c r="G129" s="16"/>
      <c r="H129" s="19" t="str">
        <f aca="false">IF(OR(E129="",AND(F129="",G129="")),"",E129*IF(F129&lt;&gt;"",F129,G129/'Budget du don'!$G$4))</f>
        <v/>
      </c>
      <c r="I129" s="18" t="str">
        <f aca="false">IF(H129="","",H129*'Budget du don'!$G$4)</f>
        <v/>
      </c>
      <c r="J129" s="4"/>
    </row>
    <row r="130" customFormat="false" ht="15" hidden="false" customHeight="false" outlineLevel="0" collapsed="false">
      <c r="A130" s="4"/>
      <c r="B130" s="5"/>
      <c r="C130" s="4"/>
      <c r="D130" s="4"/>
      <c r="E130" s="14"/>
      <c r="F130" s="15"/>
      <c r="G130" s="16"/>
      <c r="H130" s="19" t="str">
        <f aca="false">IF(OR(E130="",AND(F130="",G130="")),"",E130*IF(F130&lt;&gt;"",F130,G130/'Budget du don'!$G$4))</f>
        <v/>
      </c>
      <c r="I130" s="18" t="str">
        <f aca="false">IF(H130="","",H130*'Budget du don'!$G$4)</f>
        <v/>
      </c>
      <c r="J130" s="4"/>
    </row>
    <row r="131" customFormat="false" ht="15" hidden="false" customHeight="false" outlineLevel="0" collapsed="false">
      <c r="A131" s="4"/>
      <c r="B131" s="5"/>
      <c r="C131" s="4"/>
      <c r="D131" s="4"/>
      <c r="E131" s="14"/>
      <c r="F131" s="15"/>
      <c r="G131" s="16"/>
      <c r="H131" s="19" t="str">
        <f aca="false">IF(OR(E131="",AND(F131="",G131="")),"",E131*IF(F131&lt;&gt;"",F131,G131/'Budget du don'!$G$4))</f>
        <v/>
      </c>
      <c r="I131" s="18" t="str">
        <f aca="false">IF(H131="","",H131*'Budget du don'!$G$4)</f>
        <v/>
      </c>
      <c r="J131" s="4"/>
    </row>
    <row r="132" customFormat="false" ht="15" hidden="false" customHeight="false" outlineLevel="0" collapsed="false">
      <c r="A132" s="4"/>
      <c r="B132" s="5"/>
      <c r="C132" s="4"/>
      <c r="D132" s="4"/>
      <c r="E132" s="14"/>
      <c r="F132" s="15"/>
      <c r="G132" s="16"/>
      <c r="H132" s="19" t="str">
        <f aca="false">IF(OR(E132="",AND(F132="",G132="")),"",E132*IF(F132&lt;&gt;"",F132,G132/'Budget du don'!$G$4))</f>
        <v/>
      </c>
      <c r="I132" s="18" t="str">
        <f aca="false">IF(H132="","",H132*'Budget du don'!$G$4)</f>
        <v/>
      </c>
      <c r="J132" s="4"/>
    </row>
    <row r="133" customFormat="false" ht="15" hidden="false" customHeight="false" outlineLevel="0" collapsed="false">
      <c r="A133" s="4"/>
      <c r="B133" s="5"/>
      <c r="C133" s="4"/>
      <c r="D133" s="4"/>
      <c r="E133" s="14"/>
      <c r="F133" s="15"/>
      <c r="G133" s="16"/>
      <c r="H133" s="19" t="str">
        <f aca="false">IF(OR(E133="",AND(F133="",G133="")),"",E133*IF(F133&lt;&gt;"",F133,G133/'Budget du don'!$G$4))</f>
        <v/>
      </c>
      <c r="I133" s="18" t="str">
        <f aca="false">IF(H133="","",H133*'Budget du don'!$G$4)</f>
        <v/>
      </c>
      <c r="J133" s="4"/>
    </row>
    <row r="134" customFormat="false" ht="15" hidden="false" customHeight="false" outlineLevel="0" collapsed="false">
      <c r="A134" s="4"/>
      <c r="B134" s="5"/>
      <c r="C134" s="4"/>
      <c r="D134" s="4"/>
      <c r="E134" s="14"/>
      <c r="F134" s="15"/>
      <c r="G134" s="16"/>
      <c r="H134" s="19" t="str">
        <f aca="false">IF(OR(E134="",AND(F134="",G134="")),"",E134*IF(F134&lt;&gt;"",F134,G134/'Budget du don'!$G$4))</f>
        <v/>
      </c>
      <c r="I134" s="18" t="str">
        <f aca="false">IF(H134="","",H134*'Budget du don'!$G$4)</f>
        <v/>
      </c>
      <c r="J134" s="4"/>
    </row>
    <row r="135" customFormat="false" ht="15" hidden="false" customHeight="false" outlineLevel="0" collapsed="false">
      <c r="A135" s="4"/>
      <c r="B135" s="5"/>
      <c r="C135" s="4"/>
      <c r="D135" s="4"/>
      <c r="E135" s="14"/>
      <c r="F135" s="15"/>
      <c r="G135" s="16"/>
      <c r="H135" s="19" t="str">
        <f aca="false">IF(OR(E135="",AND(F135="",G135="")),"",E135*IF(F135&lt;&gt;"",F135,G135/'Budget du don'!$G$4))</f>
        <v/>
      </c>
      <c r="I135" s="18" t="str">
        <f aca="false">IF(H135="","",H135*'Budget du don'!$G$4)</f>
        <v/>
      </c>
      <c r="J135" s="4"/>
    </row>
    <row r="136" customFormat="false" ht="15" hidden="false" customHeight="false" outlineLevel="0" collapsed="false">
      <c r="A136" s="4"/>
      <c r="B136" s="5"/>
      <c r="C136" s="4"/>
      <c r="D136" s="4"/>
      <c r="E136" s="14"/>
      <c r="F136" s="15"/>
      <c r="G136" s="16"/>
      <c r="H136" s="19" t="str">
        <f aca="false">IF(OR(E136="",AND(F136="",G136="")),"",E136*IF(F136&lt;&gt;"",F136,G136/'Budget du don'!$G$4))</f>
        <v/>
      </c>
      <c r="I136" s="18" t="str">
        <f aca="false">IF(H136="","",H136*'Budget du don'!$G$4)</f>
        <v/>
      </c>
      <c r="J136" s="4"/>
    </row>
    <row r="137" customFormat="false" ht="15" hidden="false" customHeight="false" outlineLevel="0" collapsed="false">
      <c r="A137" s="4"/>
      <c r="B137" s="5"/>
      <c r="C137" s="4"/>
      <c r="D137" s="4"/>
      <c r="E137" s="14"/>
      <c r="F137" s="15"/>
      <c r="G137" s="16"/>
      <c r="H137" s="19" t="str">
        <f aca="false">IF(OR(E137="",AND(F137="",G137="")),"",E137*IF(F137&lt;&gt;"",F137,G137/'Budget du don'!$G$4))</f>
        <v/>
      </c>
      <c r="I137" s="18" t="str">
        <f aca="false">IF(H137="","",H137*'Budget du don'!$G$4)</f>
        <v/>
      </c>
      <c r="J137" s="4"/>
    </row>
    <row r="138" customFormat="false" ht="15" hidden="false" customHeight="false" outlineLevel="0" collapsed="false">
      <c r="A138" s="4"/>
      <c r="B138" s="5"/>
      <c r="C138" s="4"/>
      <c r="D138" s="4"/>
      <c r="E138" s="14"/>
      <c r="F138" s="15"/>
      <c r="G138" s="16"/>
      <c r="H138" s="19" t="str">
        <f aca="false">IF(OR(E138="",AND(F138="",G138="")),"",E138*IF(F138&lt;&gt;"",F138,G138/'Budget du don'!$G$4))</f>
        <v/>
      </c>
      <c r="I138" s="18" t="str">
        <f aca="false">IF(H138="","",H138*'Budget du don'!$G$4)</f>
        <v/>
      </c>
      <c r="J138" s="4"/>
    </row>
    <row r="139" customFormat="false" ht="15" hidden="false" customHeight="false" outlineLevel="0" collapsed="false">
      <c r="A139" s="4"/>
      <c r="B139" s="5"/>
      <c r="C139" s="4"/>
      <c r="D139" s="4"/>
      <c r="E139" s="14"/>
      <c r="F139" s="15"/>
      <c r="G139" s="16"/>
      <c r="H139" s="19" t="str">
        <f aca="false">IF(OR(E139="",AND(F139="",G139="")),"",E139*IF(F139&lt;&gt;"",F139,G139/'Budget du don'!$G$4))</f>
        <v/>
      </c>
      <c r="I139" s="18" t="str">
        <f aca="false">IF(H139="","",H139*'Budget du don'!$G$4)</f>
        <v/>
      </c>
      <c r="J139" s="4"/>
    </row>
    <row r="140" customFormat="false" ht="15" hidden="false" customHeight="false" outlineLevel="0" collapsed="false">
      <c r="A140" s="4"/>
      <c r="B140" s="5"/>
      <c r="C140" s="4"/>
      <c r="D140" s="4"/>
      <c r="E140" s="14"/>
      <c r="F140" s="15"/>
      <c r="G140" s="16"/>
      <c r="H140" s="19" t="str">
        <f aca="false">IF(OR(E140="",AND(F140="",G140="")),"",E140*IF(F140&lt;&gt;"",F140,G140/'Budget du don'!$G$4))</f>
        <v/>
      </c>
      <c r="I140" s="18" t="str">
        <f aca="false">IF(H140="","",H140*'Budget du don'!$G$4)</f>
        <v/>
      </c>
      <c r="J140" s="4"/>
    </row>
    <row r="141" customFormat="false" ht="15" hidden="false" customHeight="false" outlineLevel="0" collapsed="false">
      <c r="A141" s="4"/>
      <c r="B141" s="5"/>
      <c r="C141" s="4"/>
      <c r="D141" s="4"/>
      <c r="E141" s="14"/>
      <c r="F141" s="15"/>
      <c r="G141" s="16"/>
      <c r="H141" s="19" t="str">
        <f aca="false">IF(OR(E141="",AND(F141="",G141="")),"",E141*IF(F141&lt;&gt;"",F141,G141/'Budget du don'!$G$4))</f>
        <v/>
      </c>
      <c r="I141" s="18" t="str">
        <f aca="false">IF(H141="","",H141*'Budget du don'!$G$4)</f>
        <v/>
      </c>
      <c r="J141" s="4"/>
    </row>
    <row r="142" customFormat="false" ht="15" hidden="false" customHeight="false" outlineLevel="0" collapsed="false">
      <c r="A142" s="4"/>
      <c r="B142" s="5"/>
      <c r="C142" s="4"/>
      <c r="D142" s="4"/>
      <c r="E142" s="14"/>
      <c r="F142" s="15"/>
      <c r="G142" s="16"/>
      <c r="H142" s="19" t="str">
        <f aca="false">IF(OR(E142="",AND(F142="",G142="")),"",E142*IF(F142&lt;&gt;"",F142,G142/'Budget du don'!$G$4))</f>
        <v/>
      </c>
      <c r="I142" s="18" t="str">
        <f aca="false">IF(H142="","",H142*'Budget du don'!$G$4)</f>
        <v/>
      </c>
      <c r="J142" s="4"/>
    </row>
    <row r="143" customFormat="false" ht="15" hidden="false" customHeight="false" outlineLevel="0" collapsed="false">
      <c r="A143" s="4"/>
      <c r="B143" s="5"/>
      <c r="C143" s="4"/>
      <c r="D143" s="4"/>
      <c r="E143" s="14"/>
      <c r="F143" s="15"/>
      <c r="G143" s="16"/>
      <c r="H143" s="19" t="str">
        <f aca="false">IF(OR(E143="",AND(F143="",G143="")),"",E143*IF(F143&lt;&gt;"",F143,G143/'Budget du don'!$G$4))</f>
        <v/>
      </c>
      <c r="I143" s="18" t="str">
        <f aca="false">IF(H143="","",H143*'Budget du don'!$G$4)</f>
        <v/>
      </c>
      <c r="J143" s="4"/>
    </row>
    <row r="144" customFormat="false" ht="15" hidden="false" customHeight="false" outlineLevel="0" collapsed="false">
      <c r="A144" s="4"/>
      <c r="B144" s="5"/>
      <c r="C144" s="4"/>
      <c r="D144" s="4"/>
      <c r="E144" s="14"/>
      <c r="F144" s="15"/>
      <c r="G144" s="16"/>
      <c r="H144" s="19" t="str">
        <f aca="false">IF(OR(E144="",AND(F144="",G144="")),"",E144*IF(F144&lt;&gt;"",F144,G144/'Budget du don'!$G$4))</f>
        <v/>
      </c>
      <c r="I144" s="18" t="str">
        <f aca="false">IF(H144="","",H144*'Budget du don'!$G$4)</f>
        <v/>
      </c>
      <c r="J144" s="4"/>
    </row>
    <row r="145" customFormat="false" ht="15" hidden="false" customHeight="false" outlineLevel="0" collapsed="false">
      <c r="A145" s="4"/>
      <c r="B145" s="5"/>
      <c r="C145" s="4"/>
      <c r="D145" s="4"/>
      <c r="E145" s="14"/>
      <c r="F145" s="15"/>
      <c r="G145" s="16"/>
      <c r="H145" s="19" t="str">
        <f aca="false">IF(OR(E145="",AND(F145="",G145="")),"",E145*IF(F145&lt;&gt;"",F145,G145/'Budget du don'!$G$4))</f>
        <v/>
      </c>
      <c r="I145" s="18" t="str">
        <f aca="false">IF(H145="","",H145*'Budget du don'!$G$4)</f>
        <v/>
      </c>
      <c r="J145" s="4"/>
    </row>
    <row r="146" customFormat="false" ht="15" hidden="false" customHeight="false" outlineLevel="0" collapsed="false">
      <c r="A146" s="4"/>
      <c r="B146" s="5"/>
      <c r="C146" s="4"/>
      <c r="D146" s="4"/>
      <c r="E146" s="14"/>
      <c r="F146" s="15"/>
      <c r="G146" s="16"/>
      <c r="H146" s="19" t="str">
        <f aca="false">IF(OR(E146="",AND(F146="",G146="")),"",E146*IF(F146&lt;&gt;"",F146,G146/'Budget du don'!$G$4))</f>
        <v/>
      </c>
      <c r="I146" s="18" t="str">
        <f aca="false">IF(H146="","",H146*'Budget du don'!$G$4)</f>
        <v/>
      </c>
      <c r="J146" s="4"/>
    </row>
    <row r="147" customFormat="false" ht="15" hidden="false" customHeight="false" outlineLevel="0" collapsed="false">
      <c r="A147" s="4"/>
      <c r="B147" s="5"/>
      <c r="C147" s="4"/>
      <c r="D147" s="4"/>
      <c r="E147" s="14"/>
      <c r="F147" s="15"/>
      <c r="G147" s="16"/>
      <c r="H147" s="19" t="str">
        <f aca="false">IF(OR(E147="",AND(F147="",G147="")),"",E147*IF(F147&lt;&gt;"",F147,G147/'Budget du don'!$G$4))</f>
        <v/>
      </c>
      <c r="I147" s="18" t="str">
        <f aca="false">IF(H147="","",H147*'Budget du don'!$G$4)</f>
        <v/>
      </c>
      <c r="J147" s="4"/>
    </row>
    <row r="148" customFormat="false" ht="15" hidden="false" customHeight="false" outlineLevel="0" collapsed="false">
      <c r="A148" s="4"/>
      <c r="B148" s="5"/>
      <c r="C148" s="4"/>
      <c r="D148" s="4"/>
      <c r="E148" s="14"/>
      <c r="F148" s="15"/>
      <c r="G148" s="16"/>
      <c r="H148" s="19" t="str">
        <f aca="false">IF(OR(E148="",AND(F148="",G148="")),"",E148*IF(F148&lt;&gt;"",F148,G148/'Budget du don'!$G$4))</f>
        <v/>
      </c>
      <c r="I148" s="18" t="str">
        <f aca="false">IF(H148="","",H148*'Budget du don'!$G$4)</f>
        <v/>
      </c>
      <c r="J148" s="4"/>
    </row>
    <row r="149" customFormat="false" ht="15" hidden="false" customHeight="false" outlineLevel="0" collapsed="false">
      <c r="A149" s="4"/>
      <c r="B149" s="5"/>
      <c r="C149" s="4"/>
      <c r="D149" s="4"/>
      <c r="E149" s="14"/>
      <c r="F149" s="15"/>
      <c r="G149" s="16"/>
      <c r="H149" s="19" t="str">
        <f aca="false">IF(OR(E149="",AND(F149="",G149="")),"",E149*IF(F149&lt;&gt;"",F149,G149/'Budget du don'!$G$4))</f>
        <v/>
      </c>
      <c r="I149" s="18" t="str">
        <f aca="false">IF(H149="","",H149*'Budget du don'!$G$4)</f>
        <v/>
      </c>
      <c r="J149" s="4"/>
    </row>
    <row r="150" customFormat="false" ht="15" hidden="false" customHeight="false" outlineLevel="0" collapsed="false">
      <c r="A150" s="4"/>
      <c r="B150" s="5"/>
      <c r="C150" s="4"/>
      <c r="D150" s="4"/>
      <c r="E150" s="14"/>
      <c r="F150" s="15"/>
      <c r="G150" s="16"/>
      <c r="H150" s="19" t="str">
        <f aca="false">IF(OR(E150="",AND(F150="",G150="")),"",E150*IF(F150&lt;&gt;"",F150,G150/'Budget du don'!$G$4))</f>
        <v/>
      </c>
      <c r="I150" s="18" t="str">
        <f aca="false">IF(H150="","",H150*'Budget du don'!$G$4)</f>
        <v/>
      </c>
      <c r="J150" s="4"/>
    </row>
    <row r="151" customFormat="false" ht="15" hidden="false" customHeight="false" outlineLevel="0" collapsed="false">
      <c r="A151" s="4"/>
      <c r="B151" s="5"/>
      <c r="C151" s="4"/>
      <c r="D151" s="4"/>
      <c r="E151" s="14"/>
      <c r="F151" s="15"/>
      <c r="G151" s="16"/>
      <c r="H151" s="19" t="str">
        <f aca="false">IF(OR(E151="",AND(F151="",G151="")),"",E151*IF(F151&lt;&gt;"",F151,G151/'Budget du don'!$G$4))</f>
        <v/>
      </c>
      <c r="I151" s="18" t="str">
        <f aca="false">IF(H151="","",H151*'Budget du don'!$G$4)</f>
        <v/>
      </c>
      <c r="J151" s="4"/>
    </row>
    <row r="152" customFormat="false" ht="15" hidden="false" customHeight="false" outlineLevel="0" collapsed="false">
      <c r="A152" s="4"/>
      <c r="B152" s="5"/>
      <c r="C152" s="4"/>
      <c r="D152" s="4"/>
      <c r="E152" s="14"/>
      <c r="F152" s="15"/>
      <c r="G152" s="16"/>
      <c r="H152" s="19" t="str">
        <f aca="false">IF(OR(E152="",AND(F152="",G152="")),"",E152*IF(F152&lt;&gt;"",F152,G152/'Budget du don'!$G$4))</f>
        <v/>
      </c>
      <c r="I152" s="18" t="str">
        <f aca="false">IF(H152="","",H152*'Budget du don'!$G$4)</f>
        <v/>
      </c>
      <c r="J152" s="4"/>
    </row>
    <row r="153" customFormat="false" ht="15" hidden="false" customHeight="false" outlineLevel="0" collapsed="false">
      <c r="A153" s="4"/>
      <c r="B153" s="5"/>
      <c r="C153" s="4"/>
      <c r="D153" s="4"/>
      <c r="E153" s="14"/>
      <c r="F153" s="15"/>
      <c r="G153" s="16"/>
      <c r="H153" s="19" t="str">
        <f aca="false">IF(OR(E153="",AND(F153="",G153="")),"",E153*IF(F153&lt;&gt;"",F153,G153/'Budget du don'!$G$4))</f>
        <v/>
      </c>
      <c r="I153" s="18" t="str">
        <f aca="false">IF(H153="","",H153*'Budget du don'!$G$4)</f>
        <v/>
      </c>
      <c r="J153" s="4"/>
    </row>
    <row r="154" customFormat="false" ht="15" hidden="false" customHeight="false" outlineLevel="0" collapsed="false">
      <c r="A154" s="4"/>
      <c r="B154" s="5"/>
      <c r="C154" s="4"/>
      <c r="D154" s="4"/>
      <c r="E154" s="14"/>
      <c r="F154" s="15"/>
      <c r="G154" s="16"/>
      <c r="H154" s="19" t="str">
        <f aca="false">IF(OR(E154="",AND(F154="",G154="")),"",E154*IF(F154&lt;&gt;"",F154,G154/'Budget du don'!$G$4))</f>
        <v/>
      </c>
      <c r="I154" s="18" t="str">
        <f aca="false">IF(H154="","",H154*'Budget du don'!$G$4)</f>
        <v/>
      </c>
      <c r="J154" s="4"/>
    </row>
    <row r="155" customFormat="false" ht="15" hidden="false" customHeight="false" outlineLevel="0" collapsed="false">
      <c r="A155" s="4"/>
      <c r="B155" s="5"/>
      <c r="C155" s="4"/>
      <c r="D155" s="4"/>
      <c r="E155" s="14"/>
      <c r="F155" s="15"/>
      <c r="G155" s="16"/>
      <c r="H155" s="19" t="str">
        <f aca="false">IF(OR(E155="",AND(F155="",G155="")),"",E155*IF(F155&lt;&gt;"",F155,G155/'Budget du don'!$G$4))</f>
        <v/>
      </c>
      <c r="I155" s="18" t="str">
        <f aca="false">IF(H155="","",H155*'Budget du don'!$G$4)</f>
        <v/>
      </c>
      <c r="J155" s="4"/>
    </row>
    <row r="156" customFormat="false" ht="15" hidden="false" customHeight="false" outlineLevel="0" collapsed="false">
      <c r="A156" s="4"/>
      <c r="B156" s="5"/>
      <c r="C156" s="4"/>
      <c r="D156" s="4"/>
      <c r="E156" s="14"/>
      <c r="F156" s="15"/>
      <c r="G156" s="16"/>
      <c r="H156" s="19" t="str">
        <f aca="false">IF(OR(E156="",AND(F156="",G156="")),"",E156*IF(F156&lt;&gt;"",F156,G156/'Budget du don'!$G$4))</f>
        <v/>
      </c>
      <c r="I156" s="18" t="str">
        <f aca="false">IF(H156="","",H156*'Budget du don'!$G$4)</f>
        <v/>
      </c>
      <c r="J156" s="4"/>
    </row>
    <row r="157" customFormat="false" ht="15" hidden="false" customHeight="false" outlineLevel="0" collapsed="false">
      <c r="A157" s="4"/>
      <c r="B157" s="5"/>
      <c r="C157" s="4"/>
      <c r="D157" s="4"/>
      <c r="E157" s="14"/>
      <c r="F157" s="15"/>
      <c r="G157" s="16"/>
      <c r="H157" s="19" t="str">
        <f aca="false">IF(OR(E157="",AND(F157="",G157="")),"",E157*IF(F157&lt;&gt;"",F157,G157/'Budget du don'!$G$4))</f>
        <v/>
      </c>
      <c r="I157" s="18" t="str">
        <f aca="false">IF(H157="","",H157*'Budget du don'!$G$4)</f>
        <v/>
      </c>
      <c r="J157" s="4"/>
    </row>
    <row r="158" customFormat="false" ht="15" hidden="false" customHeight="false" outlineLevel="0" collapsed="false">
      <c r="A158" s="4"/>
      <c r="B158" s="5"/>
      <c r="C158" s="4"/>
      <c r="D158" s="4"/>
      <c r="E158" s="14"/>
      <c r="F158" s="15"/>
      <c r="G158" s="16"/>
      <c r="H158" s="19" t="str">
        <f aca="false">IF(OR(E158="",AND(F158="",G158="")),"",E158*IF(F158&lt;&gt;"",F158,G158/'Budget du don'!$G$4))</f>
        <v/>
      </c>
      <c r="I158" s="18" t="str">
        <f aca="false">IF(H158="","",H158*'Budget du don'!$G$4)</f>
        <v/>
      </c>
      <c r="J158" s="4"/>
    </row>
    <row r="159" customFormat="false" ht="15" hidden="false" customHeight="false" outlineLevel="0" collapsed="false">
      <c r="A159" s="4"/>
      <c r="B159" s="5"/>
      <c r="C159" s="4"/>
      <c r="D159" s="4"/>
      <c r="E159" s="14"/>
      <c r="F159" s="15"/>
      <c r="G159" s="16"/>
      <c r="H159" s="19" t="str">
        <f aca="false">IF(OR(E159="",AND(F159="",G159="")),"",E159*IF(F159&lt;&gt;"",F159,G159/'Budget du don'!$G$4))</f>
        <v/>
      </c>
      <c r="I159" s="18" t="str">
        <f aca="false">IF(H159="","",H159*'Budget du don'!$G$4)</f>
        <v/>
      </c>
      <c r="J159" s="4"/>
    </row>
    <row r="160" customFormat="false" ht="15" hidden="false" customHeight="false" outlineLevel="0" collapsed="false">
      <c r="A160" s="4"/>
      <c r="B160" s="5"/>
      <c r="C160" s="4"/>
      <c r="D160" s="4"/>
      <c r="E160" s="14"/>
      <c r="F160" s="15"/>
      <c r="G160" s="16"/>
      <c r="H160" s="19" t="str">
        <f aca="false">IF(OR(E160="",AND(F160="",G160="")),"",E160*IF(F160&lt;&gt;"",F160,G160/'Budget du don'!$G$4))</f>
        <v/>
      </c>
      <c r="I160" s="18" t="str">
        <f aca="false">IF(H160="","",H160*'Budget du don'!$G$4)</f>
        <v/>
      </c>
      <c r="J160" s="4"/>
    </row>
    <row r="161" customFormat="false" ht="15" hidden="false" customHeight="false" outlineLevel="0" collapsed="false">
      <c r="A161" s="4"/>
      <c r="B161" s="5"/>
      <c r="C161" s="4"/>
      <c r="D161" s="4"/>
      <c r="E161" s="14"/>
      <c r="F161" s="15"/>
      <c r="G161" s="16"/>
      <c r="H161" s="19" t="str">
        <f aca="false">IF(OR(E161="",AND(F161="",G161="")),"",E161*IF(F161&lt;&gt;"",F161,G161/'Budget du don'!$G$4))</f>
        <v/>
      </c>
      <c r="I161" s="18" t="str">
        <f aca="false">IF(H161="","",H161*'Budget du don'!$G$4)</f>
        <v/>
      </c>
      <c r="J161" s="4"/>
    </row>
    <row r="162" customFormat="false" ht="15" hidden="false" customHeight="false" outlineLevel="0" collapsed="false">
      <c r="A162" s="4"/>
      <c r="B162" s="5"/>
      <c r="C162" s="4"/>
      <c r="D162" s="4"/>
      <c r="E162" s="14"/>
      <c r="F162" s="15"/>
      <c r="G162" s="16"/>
      <c r="H162" s="19" t="str">
        <f aca="false">IF(OR(E162="",AND(F162="",G162="")),"",E162*IF(F162&lt;&gt;"",F162,G162/'Budget du don'!$G$4))</f>
        <v/>
      </c>
      <c r="I162" s="18" t="str">
        <f aca="false">IF(H162="","",H162*'Budget du don'!$G$4)</f>
        <v/>
      </c>
      <c r="J162" s="4"/>
    </row>
    <row r="163" customFormat="false" ht="15" hidden="false" customHeight="false" outlineLevel="0" collapsed="false">
      <c r="A163" s="4"/>
      <c r="B163" s="5"/>
      <c r="C163" s="4"/>
      <c r="D163" s="4"/>
      <c r="E163" s="14"/>
      <c r="F163" s="15"/>
      <c r="G163" s="16"/>
      <c r="H163" s="19" t="str">
        <f aca="false">IF(OR(E163="",AND(F163="",G163="")),"",E163*IF(F163&lt;&gt;"",F163,G163/'Budget du don'!$G$4))</f>
        <v/>
      </c>
      <c r="I163" s="18" t="str">
        <f aca="false">IF(H163="","",H163*'Budget du don'!$G$4)</f>
        <v/>
      </c>
      <c r="J163" s="4"/>
    </row>
    <row r="164" customFormat="false" ht="15" hidden="false" customHeight="false" outlineLevel="0" collapsed="false">
      <c r="A164" s="4"/>
      <c r="B164" s="5"/>
      <c r="C164" s="4"/>
      <c r="D164" s="4"/>
      <c r="E164" s="14"/>
      <c r="F164" s="15"/>
      <c r="G164" s="16"/>
      <c r="H164" s="19" t="str">
        <f aca="false">IF(OR(E164="",AND(F164="",G164="")),"",E164*IF(F164&lt;&gt;"",F164,G164/'Budget du don'!$G$4))</f>
        <v/>
      </c>
      <c r="I164" s="18" t="str">
        <f aca="false">IF(H164="","",H164*'Budget du don'!$G$4)</f>
        <v/>
      </c>
      <c r="J164" s="4"/>
    </row>
    <row r="165" customFormat="false" ht="15" hidden="false" customHeight="false" outlineLevel="0" collapsed="false">
      <c r="A165" s="4"/>
      <c r="B165" s="5"/>
      <c r="C165" s="4"/>
      <c r="D165" s="4"/>
      <c r="E165" s="14"/>
      <c r="F165" s="15"/>
      <c r="G165" s="16"/>
      <c r="H165" s="19" t="str">
        <f aca="false">IF(OR(E165="",AND(F165="",G165="")),"",E165*IF(F165&lt;&gt;"",F165,G165/'Budget du don'!$G$4))</f>
        <v/>
      </c>
      <c r="I165" s="18" t="str">
        <f aca="false">IF(H165="","",H165*'Budget du don'!$G$4)</f>
        <v/>
      </c>
      <c r="J165" s="4"/>
    </row>
    <row r="166" customFormat="false" ht="15" hidden="false" customHeight="false" outlineLevel="0" collapsed="false">
      <c r="A166" s="4"/>
      <c r="B166" s="5"/>
      <c r="C166" s="4"/>
      <c r="D166" s="4"/>
      <c r="E166" s="14"/>
      <c r="F166" s="15"/>
      <c r="G166" s="16"/>
      <c r="H166" s="19" t="str">
        <f aca="false">IF(OR(E166="",AND(F166="",G166="")),"",E166*IF(F166&lt;&gt;"",F166,G166/'Budget du don'!$G$4))</f>
        <v/>
      </c>
      <c r="I166" s="18" t="str">
        <f aca="false">IF(H166="","",H166*'Budget du don'!$G$4)</f>
        <v/>
      </c>
      <c r="J166" s="4"/>
    </row>
    <row r="167" customFormat="false" ht="15" hidden="false" customHeight="false" outlineLevel="0" collapsed="false">
      <c r="A167" s="4"/>
      <c r="B167" s="5"/>
      <c r="C167" s="4"/>
      <c r="D167" s="4"/>
      <c r="E167" s="14"/>
      <c r="F167" s="15"/>
      <c r="G167" s="16"/>
      <c r="H167" s="19" t="str">
        <f aca="false">IF(OR(E167="",AND(F167="",G167="")),"",E167*IF(F167&lt;&gt;"",F167,G167/'Budget du don'!$G$4))</f>
        <v/>
      </c>
      <c r="I167" s="18" t="str">
        <f aca="false">IF(H167="","",H167*'Budget du don'!$G$4)</f>
        <v/>
      </c>
      <c r="J167" s="4"/>
    </row>
    <row r="168" customFormat="false" ht="15" hidden="false" customHeight="false" outlineLevel="0" collapsed="false">
      <c r="A168" s="4"/>
      <c r="B168" s="5"/>
      <c r="C168" s="4"/>
      <c r="D168" s="4"/>
      <c r="E168" s="14"/>
      <c r="F168" s="15"/>
      <c r="G168" s="16"/>
      <c r="H168" s="19" t="str">
        <f aca="false">IF(OR(E168="",AND(F168="",G168="")),"",E168*IF(F168&lt;&gt;"",F168,G168/'Budget du don'!$G$4))</f>
        <v/>
      </c>
      <c r="I168" s="18" t="str">
        <f aca="false">IF(H168="","",H168*'Budget du don'!$G$4)</f>
        <v/>
      </c>
      <c r="J168" s="4"/>
    </row>
    <row r="169" customFormat="false" ht="15" hidden="false" customHeight="false" outlineLevel="0" collapsed="false">
      <c r="A169" s="4"/>
      <c r="B169" s="5"/>
      <c r="C169" s="4"/>
      <c r="D169" s="4"/>
      <c r="E169" s="14"/>
      <c r="F169" s="15"/>
      <c r="G169" s="16"/>
      <c r="H169" s="19" t="str">
        <f aca="false">IF(OR(E169="",AND(F169="",G169="")),"",E169*IF(F169&lt;&gt;"",F169,G169/'Budget du don'!$G$4))</f>
        <v/>
      </c>
      <c r="I169" s="18" t="str">
        <f aca="false">IF(H169="","",H169*'Budget du don'!$G$4)</f>
        <v/>
      </c>
      <c r="J169" s="4"/>
    </row>
    <row r="170" customFormat="false" ht="15" hidden="false" customHeight="false" outlineLevel="0" collapsed="false">
      <c r="A170" s="4"/>
      <c r="B170" s="5"/>
      <c r="C170" s="4"/>
      <c r="D170" s="4"/>
      <c r="E170" s="14"/>
      <c r="F170" s="15"/>
      <c r="G170" s="16"/>
      <c r="H170" s="19" t="str">
        <f aca="false">IF(OR(E170="",AND(F170="",G170="")),"",E170*IF(F170&lt;&gt;"",F170,G170/'Budget du don'!$G$4))</f>
        <v/>
      </c>
      <c r="I170" s="18" t="str">
        <f aca="false">IF(H170="","",H170*'Budget du don'!$G$4)</f>
        <v/>
      </c>
      <c r="J170" s="4"/>
    </row>
    <row r="171" customFormat="false" ht="15" hidden="false" customHeight="false" outlineLevel="0" collapsed="false">
      <c r="A171" s="4"/>
      <c r="B171" s="5"/>
      <c r="C171" s="4"/>
      <c r="D171" s="4"/>
      <c r="E171" s="14"/>
      <c r="F171" s="15"/>
      <c r="G171" s="16"/>
      <c r="H171" s="19" t="str">
        <f aca="false">IF(OR(E171="",AND(F171="",G171="")),"",E171*IF(F171&lt;&gt;"",F171,G171/'Budget du don'!$G$4))</f>
        <v/>
      </c>
      <c r="I171" s="18" t="str">
        <f aca="false">IF(H171="","",H171*'Budget du don'!$G$4)</f>
        <v/>
      </c>
      <c r="J171" s="4"/>
    </row>
    <row r="172" customFormat="false" ht="15" hidden="false" customHeight="false" outlineLevel="0" collapsed="false">
      <c r="A172" s="4"/>
      <c r="B172" s="5"/>
      <c r="C172" s="4"/>
      <c r="D172" s="4"/>
      <c r="E172" s="14"/>
      <c r="F172" s="15"/>
      <c r="G172" s="16"/>
      <c r="H172" s="19" t="str">
        <f aca="false">IF(OR(E172="",AND(F172="",G172="")),"",E172*IF(F172&lt;&gt;"",F172,G172/'Budget du don'!$G$4))</f>
        <v/>
      </c>
      <c r="I172" s="18" t="str">
        <f aca="false">IF(H172="","",H172*'Budget du don'!$G$4)</f>
        <v/>
      </c>
      <c r="J172" s="4"/>
    </row>
    <row r="173" customFormat="false" ht="15" hidden="false" customHeight="false" outlineLevel="0" collapsed="false">
      <c r="A173" s="4"/>
      <c r="B173" s="5"/>
      <c r="C173" s="4"/>
      <c r="D173" s="4"/>
      <c r="E173" s="14"/>
      <c r="F173" s="15"/>
      <c r="G173" s="16"/>
      <c r="H173" s="19" t="str">
        <f aca="false">IF(OR(E173="",AND(F173="",G173="")),"",E173*IF(F173&lt;&gt;"",F173,G173/'Budget du don'!$G$4))</f>
        <v/>
      </c>
      <c r="I173" s="18" t="str">
        <f aca="false">IF(H173="","",H173*'Budget du don'!$G$4)</f>
        <v/>
      </c>
      <c r="J173" s="4"/>
    </row>
    <row r="174" customFormat="false" ht="15" hidden="false" customHeight="false" outlineLevel="0" collapsed="false">
      <c r="A174" s="4"/>
      <c r="B174" s="5"/>
      <c r="C174" s="4"/>
      <c r="D174" s="4"/>
      <c r="E174" s="14"/>
      <c r="F174" s="15"/>
      <c r="G174" s="16"/>
      <c r="H174" s="19" t="str">
        <f aca="false">IF(OR(E174="",AND(F174="",G174="")),"",E174*IF(F174&lt;&gt;"",F174,G174/'Budget du don'!$G$4))</f>
        <v/>
      </c>
      <c r="I174" s="18" t="str">
        <f aca="false">IF(H174="","",H174*'Budget du don'!$G$4)</f>
        <v/>
      </c>
      <c r="J174" s="4"/>
    </row>
    <row r="175" customFormat="false" ht="15" hidden="false" customHeight="false" outlineLevel="0" collapsed="false">
      <c r="A175" s="4"/>
      <c r="B175" s="5"/>
      <c r="C175" s="4"/>
      <c r="D175" s="4"/>
      <c r="E175" s="14"/>
      <c r="F175" s="15"/>
      <c r="G175" s="16"/>
      <c r="H175" s="19" t="str">
        <f aca="false">IF(OR(E175="",AND(F175="",G175="")),"",E175*IF(F175&lt;&gt;"",F175,G175/'Budget du don'!$G$4))</f>
        <v/>
      </c>
      <c r="I175" s="18" t="str">
        <f aca="false">IF(H175="","",H175*'Budget du don'!$G$4)</f>
        <v/>
      </c>
      <c r="J175" s="4"/>
    </row>
    <row r="176" customFormat="false" ht="15" hidden="false" customHeight="false" outlineLevel="0" collapsed="false">
      <c r="A176" s="4"/>
      <c r="B176" s="5"/>
      <c r="C176" s="4"/>
      <c r="D176" s="4"/>
      <c r="E176" s="14"/>
      <c r="F176" s="15"/>
      <c r="G176" s="16"/>
      <c r="H176" s="19" t="str">
        <f aca="false">IF(OR(E176="",AND(F176="",G176="")),"",E176*IF(F176&lt;&gt;"",F176,G176/'Budget du don'!$G$4))</f>
        <v/>
      </c>
      <c r="I176" s="18" t="str">
        <f aca="false">IF(H176="","",H176*'Budget du don'!$G$4)</f>
        <v/>
      </c>
      <c r="J176" s="4"/>
    </row>
    <row r="177" customFormat="false" ht="15" hidden="false" customHeight="false" outlineLevel="0" collapsed="false">
      <c r="A177" s="4"/>
      <c r="B177" s="5"/>
      <c r="C177" s="4"/>
      <c r="D177" s="4"/>
      <c r="E177" s="14"/>
      <c r="F177" s="15"/>
      <c r="G177" s="16"/>
      <c r="H177" s="19" t="str">
        <f aca="false">IF(OR(E177="",AND(F177="",G177="")),"",E177*IF(F177&lt;&gt;"",F177,G177/'Budget du don'!$G$4))</f>
        <v/>
      </c>
      <c r="I177" s="18" t="str">
        <f aca="false">IF(H177="","",H177*'Budget du don'!$G$4)</f>
        <v/>
      </c>
      <c r="J177" s="4"/>
    </row>
    <row r="178" customFormat="false" ht="15" hidden="false" customHeight="false" outlineLevel="0" collapsed="false">
      <c r="A178" s="4"/>
      <c r="B178" s="5"/>
      <c r="C178" s="4"/>
      <c r="D178" s="4"/>
      <c r="E178" s="14"/>
      <c r="F178" s="15"/>
      <c r="G178" s="16"/>
      <c r="H178" s="19" t="str">
        <f aca="false">IF(OR(E178="",AND(F178="",G178="")),"",E178*IF(F178&lt;&gt;"",F178,G178/'Budget du don'!$G$4))</f>
        <v/>
      </c>
      <c r="I178" s="18" t="str">
        <f aca="false">IF(H178="","",H178*'Budget du don'!$G$4)</f>
        <v/>
      </c>
      <c r="J178" s="4"/>
    </row>
    <row r="179" customFormat="false" ht="15" hidden="false" customHeight="false" outlineLevel="0" collapsed="false">
      <c r="A179" s="4"/>
      <c r="B179" s="5"/>
      <c r="C179" s="4"/>
      <c r="D179" s="4"/>
      <c r="E179" s="14"/>
      <c r="F179" s="15"/>
      <c r="G179" s="16"/>
      <c r="H179" s="19" t="str">
        <f aca="false">IF(OR(E179="",AND(F179="",G179="")),"",E179*IF(F179&lt;&gt;"",F179,G179/'Budget du don'!$G$4))</f>
        <v/>
      </c>
      <c r="I179" s="18" t="str">
        <f aca="false">IF(H179="","",H179*'Budget du don'!$G$4)</f>
        <v/>
      </c>
      <c r="J179" s="4"/>
    </row>
    <row r="180" customFormat="false" ht="15" hidden="false" customHeight="false" outlineLevel="0" collapsed="false">
      <c r="A180" s="4"/>
      <c r="B180" s="5"/>
      <c r="C180" s="4"/>
      <c r="D180" s="4"/>
      <c r="E180" s="14"/>
      <c r="F180" s="15"/>
      <c r="G180" s="16"/>
      <c r="H180" s="19" t="str">
        <f aca="false">IF(OR(E180="",AND(F180="",G180="")),"",E180*IF(F180&lt;&gt;"",F180,G180/'Budget du don'!$G$4))</f>
        <v/>
      </c>
      <c r="I180" s="18" t="str">
        <f aca="false">IF(H180="","",H180*'Budget du don'!$G$4)</f>
        <v/>
      </c>
      <c r="J180" s="4"/>
    </row>
    <row r="181" customFormat="false" ht="15" hidden="false" customHeight="false" outlineLevel="0" collapsed="false">
      <c r="A181" s="4"/>
      <c r="B181" s="5"/>
      <c r="C181" s="4"/>
      <c r="D181" s="4"/>
      <c r="E181" s="14"/>
      <c r="F181" s="15"/>
      <c r="G181" s="16"/>
      <c r="H181" s="19" t="str">
        <f aca="false">IF(OR(E181="",AND(F181="",G181="")),"",E181*IF(F181&lt;&gt;"",F181,G181/'Budget du don'!$G$4))</f>
        <v/>
      </c>
      <c r="I181" s="18" t="str">
        <f aca="false">IF(H181="","",H181*'Budget du don'!$G$4)</f>
        <v/>
      </c>
      <c r="J181" s="4"/>
    </row>
    <row r="182" customFormat="false" ht="15" hidden="false" customHeight="false" outlineLevel="0" collapsed="false">
      <c r="A182" s="4"/>
      <c r="B182" s="5"/>
      <c r="C182" s="4"/>
      <c r="D182" s="4"/>
      <c r="E182" s="14"/>
      <c r="F182" s="15"/>
      <c r="G182" s="16"/>
      <c r="H182" s="19" t="str">
        <f aca="false">IF(OR(E182="",AND(F182="",G182="")),"",E182*IF(F182&lt;&gt;"",F182,G182/'Budget du don'!$G$4))</f>
        <v/>
      </c>
      <c r="I182" s="18" t="str">
        <f aca="false">IF(H182="","",H182*'Budget du don'!$G$4)</f>
        <v/>
      </c>
      <c r="J182" s="4"/>
    </row>
    <row r="183" customFormat="false" ht="15" hidden="false" customHeight="false" outlineLevel="0" collapsed="false">
      <c r="A183" s="4"/>
      <c r="B183" s="5"/>
      <c r="C183" s="4"/>
      <c r="D183" s="4"/>
      <c r="E183" s="14"/>
      <c r="F183" s="15"/>
      <c r="G183" s="16"/>
      <c r="H183" s="19" t="str">
        <f aca="false">IF(OR(E183="",AND(F183="",G183="")),"",E183*IF(F183&lt;&gt;"",F183,G183/'Budget du don'!$G$4))</f>
        <v/>
      </c>
      <c r="I183" s="18" t="str">
        <f aca="false">IF(H183="","",H183*'Budget du don'!$G$4)</f>
        <v/>
      </c>
      <c r="J183" s="4"/>
    </row>
    <row r="184" customFormat="false" ht="15" hidden="false" customHeight="false" outlineLevel="0" collapsed="false">
      <c r="A184" s="4"/>
      <c r="B184" s="5"/>
      <c r="C184" s="4"/>
      <c r="D184" s="4"/>
      <c r="E184" s="14"/>
      <c r="F184" s="15"/>
      <c r="G184" s="16"/>
      <c r="H184" s="19" t="str">
        <f aca="false">IF(OR(E184="",AND(F184="",G184="")),"",E184*IF(F184&lt;&gt;"",F184,G184/'Budget du don'!$G$4))</f>
        <v/>
      </c>
      <c r="I184" s="18" t="str">
        <f aca="false">IF(H184="","",H184*'Budget du don'!$G$4)</f>
        <v/>
      </c>
      <c r="J184" s="4"/>
    </row>
    <row r="185" customFormat="false" ht="15" hidden="false" customHeight="false" outlineLevel="0" collapsed="false">
      <c r="A185" s="4"/>
      <c r="B185" s="5"/>
      <c r="C185" s="4"/>
      <c r="D185" s="4"/>
      <c r="E185" s="14"/>
      <c r="F185" s="15"/>
      <c r="G185" s="16"/>
      <c r="H185" s="19" t="str">
        <f aca="false">IF(OR(E185="",AND(F185="",G185="")),"",E185*IF(F185&lt;&gt;"",F185,G185/'Budget du don'!$G$4))</f>
        <v/>
      </c>
      <c r="I185" s="18" t="str">
        <f aca="false">IF(H185="","",H185*'Budget du don'!$G$4)</f>
        <v/>
      </c>
      <c r="J185" s="4"/>
    </row>
    <row r="186" customFormat="false" ht="15" hidden="false" customHeight="false" outlineLevel="0" collapsed="false">
      <c r="A186" s="4"/>
      <c r="B186" s="5"/>
      <c r="C186" s="4"/>
      <c r="D186" s="4"/>
      <c r="E186" s="14"/>
      <c r="F186" s="15"/>
      <c r="G186" s="16"/>
      <c r="H186" s="19" t="str">
        <f aca="false">IF(OR(E186="",AND(F186="",G186="")),"",E186*IF(F186&lt;&gt;"",F186,G186/'Budget du don'!$G$4))</f>
        <v/>
      </c>
      <c r="I186" s="18" t="str">
        <f aca="false">IF(H186="","",H186*'Budget du don'!$G$4)</f>
        <v/>
      </c>
      <c r="J186" s="4"/>
    </row>
    <row r="187" customFormat="false" ht="15" hidden="false" customHeight="false" outlineLevel="0" collapsed="false">
      <c r="A187" s="4"/>
      <c r="B187" s="5"/>
      <c r="C187" s="4"/>
      <c r="D187" s="4"/>
      <c r="E187" s="14"/>
      <c r="F187" s="15"/>
      <c r="G187" s="16"/>
      <c r="H187" s="19" t="str">
        <f aca="false">IF(OR(E187="",AND(F187="",G187="")),"",E187*IF(F187&lt;&gt;"",F187,G187/'Budget du don'!$G$4))</f>
        <v/>
      </c>
      <c r="I187" s="18" t="str">
        <f aca="false">IF(H187="","",H187*'Budget du don'!$G$4)</f>
        <v/>
      </c>
      <c r="J187" s="4"/>
    </row>
    <row r="188" customFormat="false" ht="15" hidden="false" customHeight="false" outlineLevel="0" collapsed="false">
      <c r="A188" s="4"/>
      <c r="B188" s="5"/>
      <c r="C188" s="4"/>
      <c r="D188" s="4"/>
      <c r="E188" s="14"/>
      <c r="F188" s="15"/>
      <c r="G188" s="16"/>
      <c r="H188" s="19" t="str">
        <f aca="false">IF(OR(E188="",AND(F188="",G188="")),"",E188*IF(F188&lt;&gt;"",F188,G188/'Budget du don'!$G$4))</f>
        <v/>
      </c>
      <c r="I188" s="18" t="str">
        <f aca="false">IF(H188="","",H188*'Budget du don'!$G$4)</f>
        <v/>
      </c>
      <c r="J188" s="4"/>
    </row>
    <row r="189" customFormat="false" ht="15" hidden="false" customHeight="false" outlineLevel="0" collapsed="false">
      <c r="A189" s="4"/>
      <c r="B189" s="5"/>
      <c r="C189" s="4"/>
      <c r="D189" s="4"/>
      <c r="E189" s="14"/>
      <c r="F189" s="15"/>
      <c r="G189" s="16"/>
      <c r="H189" s="19" t="str">
        <f aca="false">IF(OR(E189="",AND(F189="",G189="")),"",E189*IF(F189&lt;&gt;"",F189,G189/'Budget du don'!$G$4))</f>
        <v/>
      </c>
      <c r="I189" s="18" t="str">
        <f aca="false">IF(H189="","",H189*'Budget du don'!$G$4)</f>
        <v/>
      </c>
      <c r="J189" s="4"/>
    </row>
    <row r="190" customFormat="false" ht="15" hidden="false" customHeight="false" outlineLevel="0" collapsed="false">
      <c r="A190" s="4"/>
      <c r="B190" s="5"/>
      <c r="C190" s="4"/>
      <c r="D190" s="4"/>
      <c r="E190" s="14"/>
      <c r="F190" s="15"/>
      <c r="G190" s="16"/>
      <c r="H190" s="19" t="str">
        <f aca="false">IF(OR(E190="",AND(F190="",G190="")),"",E190*IF(F190&lt;&gt;"",F190,G190/'Budget du don'!$G$4))</f>
        <v/>
      </c>
      <c r="I190" s="18" t="str">
        <f aca="false">IF(H190="","",H190*'Budget du don'!$G$4)</f>
        <v/>
      </c>
      <c r="J190" s="4"/>
    </row>
    <row r="191" customFormat="false" ht="15" hidden="false" customHeight="false" outlineLevel="0" collapsed="false">
      <c r="A191" s="4"/>
      <c r="B191" s="5"/>
      <c r="C191" s="4"/>
      <c r="D191" s="4"/>
      <c r="E191" s="14"/>
      <c r="F191" s="15"/>
      <c r="G191" s="16"/>
      <c r="H191" s="19" t="str">
        <f aca="false">IF(OR(E191="",AND(F191="",G191="")),"",E191*IF(F191&lt;&gt;"",F191,G191/'Budget du don'!$G$4))</f>
        <v/>
      </c>
      <c r="I191" s="18" t="str">
        <f aca="false">IF(H191="","",H191*'Budget du don'!$G$4)</f>
        <v/>
      </c>
      <c r="J191" s="4"/>
    </row>
    <row r="192" customFormat="false" ht="15" hidden="false" customHeight="false" outlineLevel="0" collapsed="false">
      <c r="A192" s="4"/>
      <c r="B192" s="5"/>
      <c r="C192" s="4"/>
      <c r="D192" s="4"/>
      <c r="E192" s="14"/>
      <c r="F192" s="15"/>
      <c r="G192" s="16"/>
      <c r="H192" s="19" t="str">
        <f aca="false">IF(OR(E192="",AND(F192="",G192="")),"",E192*IF(F192&lt;&gt;"",F192,G192/'Budget du don'!$G$4))</f>
        <v/>
      </c>
      <c r="I192" s="18" t="str">
        <f aca="false">IF(H192="","",H192*'Budget du don'!$G$4)</f>
        <v/>
      </c>
      <c r="J192" s="4"/>
    </row>
    <row r="193" customFormat="false" ht="15" hidden="false" customHeight="false" outlineLevel="0" collapsed="false">
      <c r="A193" s="4"/>
      <c r="B193" s="5"/>
      <c r="C193" s="4"/>
      <c r="D193" s="4"/>
      <c r="E193" s="14"/>
      <c r="F193" s="15"/>
      <c r="G193" s="16"/>
      <c r="H193" s="19" t="str">
        <f aca="false">IF(OR(E193="",AND(F193="",G193="")),"",E193*IF(F193&lt;&gt;"",F193,G193/'Budget du don'!$G$4))</f>
        <v/>
      </c>
      <c r="I193" s="18" t="str">
        <f aca="false">IF(H193="","",H193*'Budget du don'!$G$4)</f>
        <v/>
      </c>
      <c r="J193" s="4"/>
    </row>
    <row r="194" customFormat="false" ht="15" hidden="false" customHeight="false" outlineLevel="0" collapsed="false">
      <c r="A194" s="4"/>
      <c r="B194" s="5"/>
      <c r="C194" s="4"/>
      <c r="D194" s="4"/>
      <c r="E194" s="14"/>
      <c r="F194" s="15"/>
      <c r="G194" s="16"/>
      <c r="H194" s="19" t="str">
        <f aca="false">IF(OR(E194="",AND(F194="",G194="")),"",E194*IF(F194&lt;&gt;"",F194,G194/'Budget du don'!$G$4))</f>
        <v/>
      </c>
      <c r="I194" s="18" t="str">
        <f aca="false">IF(H194="","",H194*'Budget du don'!$G$4)</f>
        <v/>
      </c>
      <c r="J194" s="4"/>
    </row>
    <row r="195" customFormat="false" ht="15" hidden="false" customHeight="false" outlineLevel="0" collapsed="false">
      <c r="A195" s="4"/>
      <c r="B195" s="5"/>
      <c r="C195" s="4"/>
      <c r="D195" s="4"/>
      <c r="E195" s="14"/>
      <c r="F195" s="15"/>
      <c r="G195" s="16"/>
      <c r="H195" s="19" t="str">
        <f aca="false">IF(OR(E195="",AND(F195="",G195="")),"",E195*IF(F195&lt;&gt;"",F195,G195/'Budget du don'!$G$4))</f>
        <v/>
      </c>
      <c r="I195" s="18" t="str">
        <f aca="false">IF(H195="","",H195*'Budget du don'!$G$4)</f>
        <v/>
      </c>
      <c r="J195" s="4"/>
    </row>
    <row r="196" customFormat="false" ht="15" hidden="false" customHeight="false" outlineLevel="0" collapsed="false">
      <c r="A196" s="4"/>
      <c r="B196" s="5"/>
      <c r="C196" s="4"/>
      <c r="D196" s="4"/>
      <c r="E196" s="14"/>
      <c r="F196" s="15"/>
      <c r="G196" s="16"/>
      <c r="H196" s="19" t="str">
        <f aca="false">IF(OR(E196="",AND(F196="",G196="")),"",E196*IF(F196&lt;&gt;"",F196,G196/'Budget du don'!$G$4))</f>
        <v/>
      </c>
      <c r="I196" s="18" t="str">
        <f aca="false">IF(H196="","",H196*'Budget du don'!$G$4)</f>
        <v/>
      </c>
      <c r="J196" s="4"/>
    </row>
    <row r="197" customFormat="false" ht="15" hidden="false" customHeight="false" outlineLevel="0" collapsed="false">
      <c r="A197" s="4"/>
      <c r="B197" s="5"/>
      <c r="C197" s="4"/>
      <c r="D197" s="4"/>
      <c r="E197" s="14"/>
      <c r="F197" s="15"/>
      <c r="G197" s="16"/>
      <c r="H197" s="19" t="str">
        <f aca="false">IF(OR(E197="",AND(F197="",G197="")),"",E197*IF(F197&lt;&gt;"",F197,G197/'Budget du don'!$G$4))</f>
        <v/>
      </c>
      <c r="I197" s="18" t="str">
        <f aca="false">IF(H197="","",H197*'Budget du don'!$G$4)</f>
        <v/>
      </c>
      <c r="J197" s="4"/>
    </row>
    <row r="198" customFormat="false" ht="15" hidden="false" customHeight="false" outlineLevel="0" collapsed="false">
      <c r="A198" s="4"/>
      <c r="B198" s="5"/>
      <c r="C198" s="4"/>
      <c r="D198" s="4"/>
      <c r="E198" s="14"/>
      <c r="F198" s="15"/>
      <c r="G198" s="16"/>
      <c r="H198" s="19" t="str">
        <f aca="false">IF(OR(E198="",AND(F198="",G198="")),"",E198*IF(F198&lt;&gt;"",F198,G198/'Budget du don'!$G$4))</f>
        <v/>
      </c>
      <c r="I198" s="18" t="str">
        <f aca="false">IF(H198="","",H198*'Budget du don'!$G$4)</f>
        <v/>
      </c>
      <c r="J198" s="4"/>
    </row>
    <row r="199" customFormat="false" ht="15" hidden="false" customHeight="false" outlineLevel="0" collapsed="false">
      <c r="A199" s="4"/>
      <c r="B199" s="5"/>
      <c r="C199" s="4"/>
      <c r="D199" s="4"/>
      <c r="E199" s="14"/>
      <c r="F199" s="15"/>
      <c r="G199" s="16"/>
      <c r="H199" s="19" t="str">
        <f aca="false">IF(OR(E199="",AND(F199="",G199="")),"",E199*IF(F199&lt;&gt;"",F199,G199/'Budget du don'!$G$4))</f>
        <v/>
      </c>
      <c r="I199" s="18" t="str">
        <f aca="false">IF(H199="","",H199*'Budget du don'!$G$4)</f>
        <v/>
      </c>
      <c r="J199" s="4"/>
    </row>
    <row r="200" customFormat="false" ht="15" hidden="false" customHeight="false" outlineLevel="0" collapsed="false">
      <c r="A200" s="4"/>
      <c r="B200" s="5"/>
      <c r="C200" s="4"/>
      <c r="D200" s="4"/>
      <c r="E200" s="14"/>
      <c r="F200" s="15"/>
      <c r="G200" s="16"/>
      <c r="H200" s="19" t="str">
        <f aca="false">IF(OR(E200="",AND(F200="",G200="")),"",E200*IF(F200&lt;&gt;"",F200,G200/'Budget du don'!$G$4))</f>
        <v/>
      </c>
      <c r="I200" s="18" t="str">
        <f aca="false">IF(H200="","",H200*'Budget du don'!$G$4)</f>
        <v/>
      </c>
      <c r="J200" s="4"/>
    </row>
    <row r="201" customFormat="false" ht="15" hidden="false" customHeight="false" outlineLevel="0" collapsed="false">
      <c r="A201" s="4"/>
      <c r="B201" s="5"/>
      <c r="C201" s="4"/>
      <c r="D201" s="4"/>
      <c r="E201" s="14"/>
      <c r="F201" s="15"/>
      <c r="G201" s="16"/>
      <c r="H201" s="19" t="str">
        <f aca="false">IF(OR(E201="",AND(F201="",G201="")),"",E201*IF(F201&lt;&gt;"",F201,G201/'Budget du don'!$G$4))</f>
        <v/>
      </c>
      <c r="I201" s="18" t="str">
        <f aca="false">IF(H201="","",H201*'Budget du don'!$G$4)</f>
        <v/>
      </c>
      <c r="J201" s="4"/>
    </row>
    <row r="202" customFormat="false" ht="15" hidden="false" customHeight="false" outlineLevel="0" collapsed="false">
      <c r="A202" s="4"/>
      <c r="B202" s="5"/>
      <c r="C202" s="4"/>
      <c r="D202" s="4"/>
      <c r="E202" s="14"/>
      <c r="F202" s="15"/>
      <c r="G202" s="16"/>
      <c r="H202" s="19" t="str">
        <f aca="false">IF(OR(E202="",AND(F202="",G202="")),"",E202*IF(F202&lt;&gt;"",F202,G202/'Budget du don'!$G$4))</f>
        <v/>
      </c>
      <c r="I202" s="18" t="str">
        <f aca="false">IF(H202="","",H202*'Budget du don'!$G$4)</f>
        <v/>
      </c>
      <c r="J202" s="4"/>
    </row>
    <row r="203" customFormat="false" ht="15" hidden="false" customHeight="false" outlineLevel="0" collapsed="false">
      <c r="A203" s="4"/>
      <c r="B203" s="5"/>
      <c r="C203" s="4"/>
      <c r="D203" s="4"/>
      <c r="E203" s="14"/>
      <c r="F203" s="15"/>
      <c r="G203" s="16"/>
      <c r="H203" s="19" t="str">
        <f aca="false">IF(OR(E203="",AND(F203="",G203="")),"",E203*IF(F203&lt;&gt;"",F203,G203/'Budget du don'!$G$4))</f>
        <v/>
      </c>
      <c r="I203" s="18" t="str">
        <f aca="false">IF(H203="","",H203*'Budget du don'!$G$4)</f>
        <v/>
      </c>
      <c r="J203" s="4"/>
    </row>
    <row r="204" customFormat="false" ht="15" hidden="false" customHeight="false" outlineLevel="0" collapsed="false">
      <c r="A204" s="4"/>
      <c r="B204" s="5"/>
      <c r="C204" s="4"/>
      <c r="D204" s="4"/>
      <c r="E204" s="14"/>
      <c r="F204" s="15"/>
      <c r="G204" s="16"/>
      <c r="H204" s="19" t="str">
        <f aca="false">IF(OR(E204="",AND(F204="",G204="")),"",E204*IF(F204&lt;&gt;"",F204,G204/'Budget du don'!$G$4))</f>
        <v/>
      </c>
      <c r="I204" s="18" t="str">
        <f aca="false">IF(H204="","",H204*'Budget du don'!$G$4)</f>
        <v/>
      </c>
      <c r="J204" s="4"/>
    </row>
    <row r="205" customFormat="false" ht="15" hidden="false" customHeight="false" outlineLevel="0" collapsed="false">
      <c r="A205" s="4"/>
      <c r="B205" s="5"/>
      <c r="C205" s="4"/>
      <c r="D205" s="4"/>
      <c r="E205" s="14"/>
      <c r="F205" s="15"/>
      <c r="G205" s="16"/>
      <c r="H205" s="19" t="str">
        <f aca="false">IF(OR(E205="",AND(F205="",G205="")),"",E205*IF(F205&lt;&gt;"",F205,G205/'Budget du don'!$G$4))</f>
        <v/>
      </c>
      <c r="I205" s="18" t="str">
        <f aca="false">IF(H205="","",H205*'Budget du don'!$G$4)</f>
        <v/>
      </c>
      <c r="J205" s="4"/>
    </row>
    <row r="206" customFormat="false" ht="15" hidden="false" customHeight="false" outlineLevel="0" collapsed="false">
      <c r="A206" s="4"/>
      <c r="B206" s="5"/>
      <c r="C206" s="4"/>
      <c r="D206" s="4"/>
      <c r="E206" s="14"/>
      <c r="F206" s="15"/>
      <c r="G206" s="16"/>
      <c r="H206" s="19" t="str">
        <f aca="false">IF(OR(E206="",AND(F206="",G206="")),"",E206*IF(F206&lt;&gt;"",F206,G206/'Budget du don'!$G$4))</f>
        <v/>
      </c>
      <c r="I206" s="18" t="str">
        <f aca="false">IF(H206="","",H206*'Budget du don'!$G$4)</f>
        <v/>
      </c>
      <c r="J206" s="4"/>
    </row>
  </sheetData>
  <mergeCells count="8">
    <mergeCell ref="A1:J1"/>
    <mergeCell ref="A2:J2"/>
    <mergeCell ref="A4:B4"/>
    <mergeCell ref="C4:D4"/>
    <mergeCell ref="E4:F4"/>
    <mergeCell ref="A5:B5"/>
    <mergeCell ref="C5:D5"/>
    <mergeCell ref="E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2026-07-29T09:31:04Z</dcterms:created>
  <dc:creator>openpyxl</dc:creator>
  <dc:description/>
  <dc:language>en-US</dc:language>
  <cp:lastModifiedBy/>
  <dcterms:modified xsi:type="dcterms:W3CDTF">2026-07-29T09:31:04Z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