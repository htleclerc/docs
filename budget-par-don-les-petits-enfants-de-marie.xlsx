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<sst xmlns="http://schemas.openxmlformats.org/spreadsheetml/2006/main" count="66" uniqueCount="62">
  <si>
    <t xml:space="preserve">BUDGET PAR DON — LISTE D'ACHATS</t>
  </si>
  <si>
    <t xml:space="preserve">Préparez ici le budget d'un don : les articles à acheter, l'unité, la quantité et le prix unitaire saisi en € OU en FCFA (une seule des deux colonnes jaunes) — la conversion s'affiche automatiquement dans les deux monnaies.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</si>
  <si>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</si>
  <si>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</si>
  <si>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</si>
  <si>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</si>
  <si>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</si>
  <si>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</si>
  <si>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</si>
  <si>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</si>
  <si>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</si>
  <si>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</si>
  <si>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</si>
  <si>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</si>
  <si>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PU saisi (€)</t>
  </si>
  <si>
    <t xml:space="preserve">PU saisi (FCFA)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</si>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</sst>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SUM(H9:H48)</f>
        <v>182.938820684892</v>
      </c>
      <c r="B7" s="9"/>
      <c r="C7" s="10" t="n">
        <f aca="false">SUM(I9:I48)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  <c r="H8" s="12" t="s">
        <v>18</v>
      </c>
      <c r="I8" s="12" t="s">
        <v>19</v>
      </c>
    </row>
    <row r="9" customFormat="false" ht="15" hidden="false" customHeight="false" outlineLevel="0" collapsed="false">
      <c r="A9" s="4" t="s">
        <v>20</v>
      </c>
      <c r="B9" s="13" t="s">
        <v>21</v>
      </c>
      <c r="C9" s="14" t="n">
        <v>10</v>
      </c>
      <c r="D9" s="15"/>
      <c r="E9" s="16" t="n">
        <v>12000</v>
      </c>
      <c r="F9" s="17" t="n">
        <f aca="false">IF(AND(D9="",E9=""),"",IF(D9&lt;&gt;"",D9,E9/'Budget du don'!$G$4))</f>
        <v>18.2938820684892</v>
      </c>
      <c r="G9" s="18" t="n">
        <f aca="false">IF(F9="","",F9*'Budget du don'!$G$4)</f>
        <v>12000</v>
      </c>
      <c r="H9" s="19" t="n">
        <f aca="false">IF(OR(A9="",C9="",F9=""),"",C9*F9)</f>
        <v>182.938820684892</v>
      </c>
      <c r="I9" s="18" t="n">
        <f aca="false">IF(H9="","",H9*'Budget du don'!$G$4)</f>
        <v>120000</v>
      </c>
    </row>
    <row r="10" customFormat="false" ht="15" hidden="false" customHeight="false" outlineLevel="0" collapsed="false">
      <c r="A10" s="4" t="s">
        <v>22</v>
      </c>
      <c r="B10" s="13" t="s">
        <v>23</v>
      </c>
      <c r="C10" s="14"/>
      <c r="D10" s="15"/>
      <c r="E10" s="16"/>
      <c r="F10" s="17" t="str">
        <f aca="false">IF(AND(D10="",E10=""),"",IF(D10&lt;&gt;"",D10,E10/'Budget du don'!$G$4))</f>
        <v/>
      </c>
      <c r="G10" s="18" t="str">
        <f aca="false">IF(F10="","",F10*'Budget du don'!$G$4)</f>
        <v/>
      </c>
      <c r="H10" s="19" t="str">
        <f aca="false">IF(OR(A10="",C10="",F10=""),"",C10*F10)</f>
        <v/>
      </c>
      <c r="I10" s="18" t="str">
        <f aca="false">IF(H10="","",H10*'Budget du don'!$G$4)</f>
        <v/>
      </c>
    </row>
    <row r="11" customFormat="false" ht="15" hidden="false" customHeight="false" outlineLevel="0" collapsed="false">
      <c r="A11" s="4" t="s">
        <v>24</v>
      </c>
      <c r="B11" s="13" t="s">
        <v>23</v>
      </c>
      <c r="C11" s="14"/>
      <c r="D11" s="15"/>
      <c r="E11" s="16"/>
      <c r="F11" s="17" t="str">
        <f aca="false">IF(AND(D11="",E11=""),"",IF(D11&lt;&gt;"",D11,E11/'Budget du don'!$G$4))</f>
        <v/>
      </c>
      <c r="G11" s="18" t="str">
        <f aca="false">IF(F11="","",F11*'Budget du don'!$G$4)</f>
        <v/>
      </c>
      <c r="H11" s="19" t="str">
        <f aca="false">IF(OR(A11="",C11="",F11=""),"",C11*F11)</f>
        <v/>
      </c>
      <c r="I11" s="18" t="str">
        <f aca="false">IF(H11="","",H11*'Budget du don'!$G$4)</f>
        <v/>
      </c>
    </row>
    <row r="12" customFormat="false" ht="15" hidden="false" customHeight="false" outlineLevel="0" collapsed="false">
      <c r="A12" s="4" t="s">
        <v>25</v>
      </c>
      <c r="B12" s="13" t="s">
        <v>23</v>
      </c>
      <c r="C12" s="14"/>
      <c r="D12" s="15"/>
      <c r="E12" s="16"/>
      <c r="F12" s="17" t="str">
        <f aca="false">IF(AND(D12="",E12=""),"",IF(D12&lt;&gt;"",D12,E12/'Budget du don'!$G$4))</f>
        <v/>
      </c>
      <c r="G12" s="18" t="str">
        <f aca="false">IF(F12="","",F12*'Budget du don'!$G$4)</f>
        <v/>
      </c>
      <c r="H12" s="19" t="str">
        <f aca="false">IF(OR(A12="",C12="",F12=""),"",C12*F12)</f>
        <v/>
      </c>
      <c r="I12" s="18" t="str">
        <f aca="false">IF(H12="","",H12*'Budget du don'!$G$4)</f>
        <v/>
      </c>
    </row>
    <row r="13" customFormat="false" ht="15" hidden="false" customHeight="false" outlineLevel="0" collapsed="false">
      <c r="A13" s="4" t="s">
        <v>26</v>
      </c>
      <c r="B13" s="13" t="s">
        <v>27</v>
      </c>
      <c r="C13" s="14"/>
      <c r="D13" s="15"/>
      <c r="E13" s="16"/>
      <c r="F13" s="17" t="str">
        <f aca="false">IF(AND(D13="",E13=""),"",IF(D13&lt;&gt;"",D13,E13/'Budget du don'!$G$4))</f>
        <v/>
      </c>
      <c r="G13" s="18" t="str">
        <f aca="false">IF(F13="","",F13*'Budget du don'!$G$4)</f>
        <v/>
      </c>
      <c r="H13" s="19" t="str">
        <f aca="false">IF(OR(A13="",C13="",F13=""),"",C13*F13)</f>
        <v/>
      </c>
      <c r="I13" s="18" t="str">
        <f aca="false">IF(H13="","",H13*'Budget du don'!$G$4)</f>
        <v/>
      </c>
    </row>
    <row r="14" customFormat="false" ht="15" hidden="false" customHeight="false" outlineLevel="0" collapsed="false">
      <c r="A14" s="4" t="s">
        <v>28</v>
      </c>
      <c r="B14" s="13" t="s">
        <v>29</v>
      </c>
      <c r="C14" s="14"/>
      <c r="D14" s="15"/>
      <c r="E14" s="16"/>
      <c r="F14" s="17" t="str">
        <f aca="false">IF(AND(D14="",E14=""),"",IF(D14&lt;&gt;"",D14,E14/'Budget du don'!$G$4))</f>
        <v/>
      </c>
      <c r="G14" s="18" t="str">
        <f aca="false">IF(F14="","",F14*'Budget du don'!$G$4)</f>
        <v/>
      </c>
      <c r="H14" s="19" t="str">
        <f aca="false">IF(OR(A14="",C14="",F14=""),"",C14*F14)</f>
        <v/>
      </c>
      <c r="I14" s="18" t="str">
        <f aca="false">IF(H14="","",H14*'Budget du don'!$G$4)</f>
        <v/>
      </c>
    </row>
    <row r="15" customFormat="false" ht="15" hidden="false" customHeight="false" outlineLevel="0" collapsed="false">
      <c r="A15" s="4" t="s">
        <v>30</v>
      </c>
      <c r="B15" s="13" t="s">
        <v>23</v>
      </c>
      <c r="C15" s="14"/>
      <c r="D15" s="15"/>
      <c r="E15" s="16"/>
      <c r="F15" s="17" t="str">
        <f aca="false">IF(AND(D15="",E15=""),"",IF(D15&lt;&gt;"",D15,E15/'Budget du don'!$G$4))</f>
        <v/>
      </c>
      <c r="G15" s="18" t="str">
        <f aca="false">IF(F15="","",F15*'Budget du don'!$G$4)</f>
        <v/>
      </c>
      <c r="H15" s="19" t="str">
        <f aca="false">IF(OR(A15="",C15="",F15=""),"",C15*F15)</f>
        <v/>
      </c>
      <c r="I15" s="18" t="str">
        <f aca="false">IF(H15="","",H15*'Budget du don'!$G$4)</f>
        <v/>
      </c>
    </row>
    <row r="16" customFormat="false" ht="15" hidden="false" customHeight="false" outlineLevel="0" collapsed="false">
      <c r="A16" s="4" t="s">
        <v>31</v>
      </c>
      <c r="B16" s="13" t="s">
        <v>32</v>
      </c>
      <c r="C16" s="14"/>
      <c r="D16" s="15"/>
      <c r="E16" s="16"/>
      <c r="F16" s="17" t="str">
        <f aca="false">IF(AND(D16="",E16=""),"",IF(D16&lt;&gt;"",D16,E16/'Budget du don'!$G$4))</f>
        <v/>
      </c>
      <c r="G16" s="18" t="str">
        <f aca="false">IF(F16="","",F16*'Budget du don'!$G$4)</f>
        <v/>
      </c>
      <c r="H16" s="19" t="str">
        <f aca="false">IF(OR(A16="",C16="",F16=""),"",C16*F16)</f>
        <v/>
      </c>
      <c r="I16" s="18" t="str">
        <f aca="false">IF(H16="","",H16*'Budget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IF(AND(D17="",E17=""),"",IF(D17&lt;&gt;"",D17,E17/'Budget du don'!$G$4))</f>
        <v/>
      </c>
      <c r="G17" s="18" t="str">
        <f aca="false">IF(F17="","",F17*'Budget du don'!$G$4)</f>
        <v/>
      </c>
      <c r="H17" s="19" t="str">
        <f aca="false">IF(OR(A17="",C17="",F17=""),"",C17*F17)</f>
        <v/>
      </c>
      <c r="I17" s="18" t="str">
        <f aca="false">IF(H17="","",H17*'Budget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IF(AND(D18="",E18=""),"",IF(D18&lt;&gt;"",D18,E18/'Budget du don'!$G$4))</f>
        <v/>
      </c>
      <c r="G18" s="18" t="str">
        <f aca="false">IF(F18="","",F18*'Budget du don'!$G$4)</f>
        <v/>
      </c>
      <c r="H18" s="19" t="str">
        <f aca="false">IF(OR(A18="",C18="",F18=""),"",C18*F18)</f>
        <v/>
      </c>
      <c r="I18" s="18" t="str">
        <f aca="false">IF(H18="","",H18*'Budget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IF(AND(D19="",E19=""),"",IF(D19&lt;&gt;"",D19,E19/'Budget du don'!$G$4))</f>
        <v/>
      </c>
      <c r="G19" s="18" t="str">
        <f aca="false">IF(F19="","",F19*'Budget du don'!$G$4)</f>
        <v/>
      </c>
      <c r="H19" s="19" t="str">
        <f aca="false">IF(OR(A19="",C19="",F19=""),"",C19*F19)</f>
        <v/>
      </c>
      <c r="I19" s="18" t="str">
        <f aca="false">IF(H19="","",H19*'Budget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IF(AND(D20="",E20=""),"",IF(D20&lt;&gt;"",D20,E20/'Budget du don'!$G$4))</f>
        <v/>
      </c>
      <c r="G20" s="18" t="str">
        <f aca="false">IF(F20="","",F20*'Budget du don'!$G$4)</f>
        <v/>
      </c>
      <c r="H20" s="19" t="str">
        <f aca="false">IF(OR(A20="",C20="",F20=""),"",C20*F20)</f>
        <v/>
      </c>
      <c r="I20" s="18" t="str">
        <f aca="false">IF(H20="","",H20*'Budget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IF(AND(D21="",E21=""),"",IF(D21&lt;&gt;"",D21,E21/'Budget du don'!$G$4))</f>
        <v/>
      </c>
      <c r="G21" s="18" t="str">
        <f aca="false">IF(F21="","",F21*'Budget du don'!$G$4)</f>
        <v/>
      </c>
      <c r="H21" s="19" t="str">
        <f aca="false">IF(OR(A21="",C21="",F21=""),"",C21*F21)</f>
        <v/>
      </c>
      <c r="I21" s="18" t="str">
        <f aca="false">IF(H21="","",H21*'Budget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IF(AND(D22="",E22=""),"",IF(D22&lt;&gt;"",D22,E22/'Budget du don'!$G$4))</f>
        <v/>
      </c>
      <c r="G22" s="18" t="str">
        <f aca="false">IF(F22="","",F22*'Budget du don'!$G$4)</f>
        <v/>
      </c>
      <c r="H22" s="19" t="str">
        <f aca="false">IF(OR(A22="",C22="",F22=""),"",C22*F22)</f>
        <v/>
      </c>
      <c r="I22" s="18" t="str">
        <f aca="false">IF(H22="","",H22*'Budget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IF(AND(D23="",E23=""),"",IF(D23&lt;&gt;"",D23,E23/'Budget du don'!$G$4))</f>
        <v/>
      </c>
      <c r="G23" s="18" t="str">
        <f aca="false">IF(F23="","",F23*'Budget du don'!$G$4)</f>
        <v/>
      </c>
      <c r="H23" s="19" t="str">
        <f aca="false">IF(OR(A23="",C23="",F23=""),"",C23*F23)</f>
        <v/>
      </c>
      <c r="I23" s="18" t="str">
        <f aca="false">IF(H23="","",H23*'Budget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IF(AND(D24="",E24=""),"",IF(D24&lt;&gt;"",D24,E24/'Budget du don'!$G$4))</f>
        <v/>
      </c>
      <c r="G24" s="18" t="str">
        <f aca="false">IF(F24="","",F24*'Budget du don'!$G$4)</f>
        <v/>
      </c>
      <c r="H24" s="19" t="str">
        <f aca="false">IF(OR(A24="",C24="",F24=""),"",C24*F24)</f>
        <v/>
      </c>
      <c r="I24" s="18" t="str">
        <f aca="false">IF(H24="","",H24*'Budget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IF(AND(D25="",E25=""),"",IF(D25&lt;&gt;"",D25,E25/'Budget du don'!$G$4))</f>
        <v/>
      </c>
      <c r="G25" s="18" t="str">
        <f aca="false">IF(F25="","",F25*'Budget du don'!$G$4)</f>
        <v/>
      </c>
      <c r="H25" s="19" t="str">
        <f aca="false">IF(OR(A25="",C25="",F25=""),"",C25*F25)</f>
        <v/>
      </c>
      <c r="I25" s="18" t="str">
        <f aca="false">IF(H25="","",H25*'Budget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IF(AND(D26="",E26=""),"",IF(D26&lt;&gt;"",D26,E26/'Budget du don'!$G$4))</f>
        <v/>
      </c>
      <c r="G26" s="18" t="str">
        <f aca="false">IF(F26="","",F26*'Budget du don'!$G$4)</f>
        <v/>
      </c>
      <c r="H26" s="19" t="str">
        <f aca="false">IF(OR(A26="",C26="",F26=""),"",C26*F26)</f>
        <v/>
      </c>
      <c r="I26" s="18" t="str">
        <f aca="false">IF(H26="","",H26*'Budget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IF(AND(D27="",E27=""),"",IF(D27&lt;&gt;"",D27,E27/'Budget du don'!$G$4))</f>
        <v/>
      </c>
      <c r="G27" s="18" t="str">
        <f aca="false">IF(F27="","",F27*'Budget du don'!$G$4)</f>
        <v/>
      </c>
      <c r="H27" s="19" t="str">
        <f aca="false">IF(OR(A27="",C27="",F27=""),"",C27*F27)</f>
        <v/>
      </c>
      <c r="I27" s="18" t="str">
        <f aca="false">IF(H27="","",H27*'Budget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IF(AND(D28="",E28=""),"",IF(D28&lt;&gt;"",D28,E28/'Budget du don'!$G$4))</f>
        <v/>
      </c>
      <c r="G28" s="18" t="str">
        <f aca="false">IF(F28="","",F28*'Budget du don'!$G$4)</f>
        <v/>
      </c>
      <c r="H28" s="19" t="str">
        <f aca="false">IF(OR(A28="",C28="",F28=""),"",C28*F28)</f>
        <v/>
      </c>
      <c r="I28" s="18" t="str">
        <f aca="false">IF(H28="","",H28*'Budget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IF(AND(D29="",E29=""),"",IF(D29&lt;&gt;"",D29,E29/'Budget du don'!$G$4))</f>
        <v/>
      </c>
      <c r="G29" s="18" t="str">
        <f aca="false">IF(F29="","",F29*'Budget du don'!$G$4)</f>
        <v/>
      </c>
      <c r="H29" s="19" t="str">
        <f aca="false">IF(OR(A29="",C29="",F29=""),"",C29*F29)</f>
        <v/>
      </c>
      <c r="I29" s="18" t="str">
        <f aca="false">IF(H29="","",H29*'Budget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IF(AND(D30="",E30=""),"",IF(D30&lt;&gt;"",D30,E30/'Budget du don'!$G$4))</f>
        <v/>
      </c>
      <c r="G30" s="18" t="str">
        <f aca="false">IF(F30="","",F30*'Budget du don'!$G$4)</f>
        <v/>
      </c>
      <c r="H30" s="19" t="str">
        <f aca="false">IF(OR(A30="",C30="",F30=""),"",C30*F30)</f>
        <v/>
      </c>
      <c r="I30" s="18" t="str">
        <f aca="false">IF(H30="","",H30*'Budget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IF(AND(D31="",E31=""),"",IF(D31&lt;&gt;"",D31,E31/'Budget du don'!$G$4))</f>
        <v/>
      </c>
      <c r="G31" s="18" t="str">
        <f aca="false">IF(F31="","",F31*'Budget du don'!$G$4)</f>
        <v/>
      </c>
      <c r="H31" s="19" t="str">
        <f aca="false">IF(OR(A31="",C31="",F31=""),"",C31*F31)</f>
        <v/>
      </c>
      <c r="I31" s="18" t="str">
        <f aca="false">IF(H31="","",H31*'Budget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IF(AND(D32="",E32=""),"",IF(D32&lt;&gt;"",D32,E32/'Budget du don'!$G$4))</f>
        <v/>
      </c>
      <c r="G32" s="18" t="str">
        <f aca="false">IF(F32="","",F32*'Budget du don'!$G$4)</f>
        <v/>
      </c>
      <c r="H32" s="19" t="str">
        <f aca="false">IF(OR(A32="",C32="",F32=""),"",C32*F32)</f>
        <v/>
      </c>
      <c r="I32" s="18" t="str">
        <f aca="false">IF(H32="","",H32*'Budget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IF(AND(D33="",E33=""),"",IF(D33&lt;&gt;"",D33,E33/'Budget du don'!$G$4))</f>
        <v/>
      </c>
      <c r="G33" s="18" t="str">
        <f aca="false">IF(F33="","",F33*'Budget du don'!$G$4)</f>
        <v/>
      </c>
      <c r="H33" s="19" t="str">
        <f aca="false">IF(OR(A33="",C33="",F33=""),"",C33*F33)</f>
        <v/>
      </c>
      <c r="I33" s="18" t="str">
        <f aca="false">IF(H33="","",H33*'Budget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IF(AND(D34="",E34=""),"",IF(D34&lt;&gt;"",D34,E34/'Budget du don'!$G$4))</f>
        <v/>
      </c>
      <c r="G34" s="18" t="str">
        <f aca="false">IF(F34="","",F34*'Budget du don'!$G$4)</f>
        <v/>
      </c>
      <c r="H34" s="19" t="str">
        <f aca="false">IF(OR(A34="",C34="",F34=""),"",C34*F34)</f>
        <v/>
      </c>
      <c r="I34" s="18" t="str">
        <f aca="false">IF(H34="","",H34*'Budget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IF(AND(D35="",E35=""),"",IF(D35&lt;&gt;"",D35,E35/'Budget du don'!$G$4))</f>
        <v/>
      </c>
      <c r="G35" s="18" t="str">
        <f aca="false">IF(F35="","",F35*'Budget du don'!$G$4)</f>
        <v/>
      </c>
      <c r="H35" s="19" t="str">
        <f aca="false">IF(OR(A35="",C35="",F35=""),"",C35*F35)</f>
        <v/>
      </c>
      <c r="I35" s="18" t="str">
        <f aca="false">IF(H35="","",H35*'Budget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IF(AND(D36="",E36=""),"",IF(D36&lt;&gt;"",D36,E36/'Budget du don'!$G$4))</f>
        <v/>
      </c>
      <c r="G36" s="18" t="str">
        <f aca="false">IF(F36="","",F36*'Budget du don'!$G$4)</f>
        <v/>
      </c>
      <c r="H36" s="19" t="str">
        <f aca="false">IF(OR(A36="",C36="",F36=""),"",C36*F36)</f>
        <v/>
      </c>
      <c r="I36" s="18" t="str">
        <f aca="false">IF(H36="","",H36*'Budget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IF(AND(D37="",E37=""),"",IF(D37&lt;&gt;"",D37,E37/'Budget du don'!$G$4))</f>
        <v/>
      </c>
      <c r="G37" s="18" t="str">
        <f aca="false">IF(F37="","",F37*'Budget du don'!$G$4)</f>
        <v/>
      </c>
      <c r="H37" s="19" t="str">
        <f aca="false">IF(OR(A37="",C37="",F37=""),"",C37*F37)</f>
        <v/>
      </c>
      <c r="I37" s="18" t="str">
        <f aca="false">IF(H37="","",H37*'Budget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IF(AND(D38="",E38=""),"",IF(D38&lt;&gt;"",D38,E38/'Budget du don'!$G$4))</f>
        <v/>
      </c>
      <c r="G38" s="18" t="str">
        <f aca="false">IF(F38="","",F38*'Budget du don'!$G$4)</f>
        <v/>
      </c>
      <c r="H38" s="19" t="str">
        <f aca="false">IF(OR(A38="",C38="",F38=""),"",C38*F38)</f>
        <v/>
      </c>
      <c r="I38" s="18" t="str">
        <f aca="false">IF(H38="","",H38*'Budget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IF(AND(D39="",E39=""),"",IF(D39&lt;&gt;"",D39,E39/'Budget du don'!$G$4))</f>
        <v/>
      </c>
      <c r="G39" s="18" t="str">
        <f aca="false">IF(F39="","",F39*'Budget du don'!$G$4)</f>
        <v/>
      </c>
      <c r="H39" s="19" t="str">
        <f aca="false">IF(OR(A39="",C39="",F39=""),"",C39*F39)</f>
        <v/>
      </c>
      <c r="I39" s="18" t="str">
        <f aca="false">IF(H39="","",H39*'Budget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IF(AND(D40="",E40=""),"",IF(D40&lt;&gt;"",D40,E40/'Budget du don'!$G$4))</f>
        <v/>
      </c>
      <c r="G40" s="18" t="str">
        <f aca="false">IF(F40="","",F40*'Budget du don'!$G$4)</f>
        <v/>
      </c>
      <c r="H40" s="19" t="str">
        <f aca="false">IF(OR(A40="",C40="",F40=""),"",C40*F40)</f>
        <v/>
      </c>
      <c r="I40" s="18" t="str">
        <f aca="false">IF(H40="","",H40*'Budget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IF(AND(D41="",E41=""),"",IF(D41&lt;&gt;"",D41,E41/'Budget du don'!$G$4))</f>
        <v/>
      </c>
      <c r="G41" s="18" t="str">
        <f aca="false">IF(F41="","",F41*'Budget du don'!$G$4)</f>
        <v/>
      </c>
      <c r="H41" s="19" t="str">
        <f aca="false">IF(OR(A41="",C41="",F41=""),"",C41*F41)</f>
        <v/>
      </c>
      <c r="I41" s="18" t="str">
        <f aca="false">IF(H41="","",H41*'Budget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IF(AND(D42="",E42=""),"",IF(D42&lt;&gt;"",D42,E42/'Budget du don'!$G$4))</f>
        <v/>
      </c>
      <c r="G42" s="18" t="str">
        <f aca="false">IF(F42="","",F42*'Budget du don'!$G$4)</f>
        <v/>
      </c>
      <c r="H42" s="19" t="str">
        <f aca="false">IF(OR(A42="",C42="",F42=""),"",C42*F42)</f>
        <v/>
      </c>
      <c r="I42" s="18" t="str">
        <f aca="false">IF(H42="","",H42*'Budget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IF(AND(D43="",E43=""),"",IF(D43&lt;&gt;"",D43,E43/'Budget du don'!$G$4))</f>
        <v/>
      </c>
      <c r="G43" s="18" t="str">
        <f aca="false">IF(F43="","",F43*'Budget du don'!$G$4)</f>
        <v/>
      </c>
      <c r="H43" s="19" t="str">
        <f aca="false">IF(OR(A43="",C43="",F43=""),"",C43*F43)</f>
        <v/>
      </c>
      <c r="I43" s="18" t="str">
        <f aca="false">IF(H43="","",H43*'Budget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IF(AND(D44="",E44=""),"",IF(D44&lt;&gt;"",D44,E44/'Budget du don'!$G$4))</f>
        <v/>
      </c>
      <c r="G44" s="18" t="str">
        <f aca="false">IF(F44="","",F44*'Budget du don'!$G$4)</f>
        <v/>
      </c>
      <c r="H44" s="19" t="str">
        <f aca="false">IF(OR(A44="",C44="",F44=""),"",C44*F44)</f>
        <v/>
      </c>
      <c r="I44" s="18" t="str">
        <f aca="false">IF(H44="","",H44*'Budget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IF(AND(D45="",E45=""),"",IF(D45&lt;&gt;"",D45,E45/'Budget du don'!$G$4))</f>
        <v/>
      </c>
      <c r="G45" s="18" t="str">
        <f aca="false">IF(F45="","",F45*'Budget du don'!$G$4)</f>
        <v/>
      </c>
      <c r="H45" s="19" t="str">
        <f aca="false">IF(OR(A45="",C45="",F45=""),"",C45*F45)</f>
        <v/>
      </c>
      <c r="I45" s="18" t="str">
        <f aca="false">IF(H45="","",H45*'Budget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IF(AND(D46="",E46=""),"",IF(D46&lt;&gt;"",D46,E46/'Budget du don'!$G$4))</f>
        <v/>
      </c>
      <c r="G46" s="18" t="str">
        <f aca="false">IF(F46="","",F46*'Budget du don'!$G$4)</f>
        <v/>
      </c>
      <c r="H46" s="19" t="str">
        <f aca="false">IF(OR(A46="",C46="",F46=""),"",C46*F46)</f>
        <v/>
      </c>
      <c r="I46" s="18" t="str">
        <f aca="false">IF(H46="","",H46*'Budget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IF(AND(D47="",E47=""),"",IF(D47&lt;&gt;"",D47,E47/'Budget du don'!$G$4))</f>
        <v/>
      </c>
      <c r="G47" s="18" t="str">
        <f aca="false">IF(F47="","",F47*'Budget du don'!$G$4)</f>
        <v/>
      </c>
      <c r="H47" s="19" t="str">
        <f aca="false">IF(OR(A47="",C47="",F47=""),"",C47*F47)</f>
        <v/>
      </c>
      <c r="I47" s="18" t="str">
        <f aca="false">IF(H47="","",H47*'Budget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IF(AND(D48="",E48=""),"",IF(D48&lt;&gt;"",D48,E48/'Budget du don'!$G$4))</f>
        <v/>
      </c>
      <c r="G48" s="18" t="str">
        <f aca="false">IF(F48="","",F48*'Budget du don'!$G$4)</f>
        <v/>
      </c>
      <c r="H48" s="19" t="str">
        <f aca="false">IF(OR(A48="",C48="",F48=""),"",C48*F48)</f>
        <v/>
      </c>
      <c r="I48" s="18" t="str">
        <f aca="false">IF(H48="","",H48*'Budget du don'!$G$4)</f>
        <v/>
      </c>
    </row>
    <row r="49" customFormat="false" ht="21.75" hidden="false" customHeight="true" outlineLevel="0" collapsed="false">
      <c r="A49" s="20" t="s">
        <v>33</v>
      </c>
      <c r="B49" s="21"/>
      <c r="C49" s="21"/>
      <c r="D49" s="21"/>
      <c r="E49" s="21"/>
      <c r="F49" s="21"/>
      <c r="G49" s="21"/>
      <c r="H49" s="22" t="n">
        <f aca="false">SUM(H9:H48)</f>
        <v>182.938820684892</v>
      </c>
      <c r="I49" s="23" t="n">
        <f aca="false">SUM(I9:I48)</f>
        <v>120000</v>
      </c>
    </row>
  </sheetData>
  <mergeCells count="10">
    <mergeCell ref="A1:I1"/>
    <mergeCell ref="A2:I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36</v>
      </c>
      <c r="B4" s="8"/>
      <c r="C4" s="8" t="s">
        <v>37</v>
      </c>
      <c r="D4" s="8"/>
      <c r="E4" s="8" t="s">
        <v>38</v>
      </c>
      <c r="F4" s="8"/>
      <c r="G4" s="8" t="s">
        <v>39</v>
      </c>
      <c r="H4" s="8"/>
      <c r="I4" s="8" t="s">
        <v>40</v>
      </c>
      <c r="J4" s="8"/>
      <c r="K4" s="8" t="s">
        <v>41</v>
      </c>
      <c r="L4" s="8"/>
    </row>
    <row r="5" customFormat="false" ht="21.75" hidden="false" customHeight="true" outlineLevel="0" collapsed="false">
      <c r="A5" s="24" t="n">
        <f aca="false">SUM(F9:F48)</f>
        <v>182.938820684892</v>
      </c>
      <c r="B5" s="24"/>
      <c r="C5" s="25" t="n">
        <f aca="false">SUM(F9:F48)*'Budget du don'!$G$4</f>
        <v>120000</v>
      </c>
      <c r="D5" s="25"/>
      <c r="E5" s="26" t="n">
        <f aca="false">SUM(K9:K48)</f>
        <v>195.134742063885</v>
      </c>
      <c r="F5" s="26"/>
      <c r="G5" s="10" t="n">
        <f aca="false">SUM(K9:K48)*'Budget du don'!$G$4</f>
        <v>128000</v>
      </c>
      <c r="H5" s="10"/>
      <c r="I5" s="9" t="n">
        <f aca="false">SUM(F9:F48)-SUM(K9:K48)</f>
        <v>-12.1959213789929</v>
      </c>
      <c r="J5" s="9"/>
      <c r="K5" s="27" t="n">
        <f aca="false">IF(SUM(F9:F48)=0,"",SUM(K9:K48)/SUM(F9:F48))</f>
        <v>1.06666666666667</v>
      </c>
      <c r="L5" s="27"/>
    </row>
    <row r="7" customFormat="false" ht="18" hidden="false" customHeight="true" outlineLevel="0" collapsed="false">
      <c r="A7" s="28" t="s">
        <v>42</v>
      </c>
      <c r="B7" s="28"/>
      <c r="C7" s="28"/>
      <c r="D7" s="28"/>
      <c r="E7" s="28"/>
      <c r="F7" s="28"/>
      <c r="G7" s="28"/>
      <c r="H7" s="29" t="s">
        <v>43</v>
      </c>
      <c r="I7" s="29"/>
      <c r="J7" s="29"/>
      <c r="K7" s="29"/>
      <c r="L7" s="29"/>
      <c r="M7" s="30" t="s">
        <v>44</v>
      </c>
      <c r="N7" s="30"/>
      <c r="O7" s="30"/>
      <c r="P7" s="30"/>
    </row>
    <row r="8" customFormat="false" ht="27.75" hidden="false" customHeight="true" outlineLevel="0" collapsed="false">
      <c r="A8" s="12" t="s">
        <v>45</v>
      </c>
      <c r="B8" s="12" t="s">
        <v>12</v>
      </c>
      <c r="C8" s="12" t="s">
        <v>46</v>
      </c>
      <c r="D8" s="12" t="s">
        <v>47</v>
      </c>
      <c r="E8" s="12" t="s">
        <v>48</v>
      </c>
      <c r="F8" s="12" t="s">
        <v>49</v>
      </c>
      <c r="G8" s="12" t="s">
        <v>50</v>
      </c>
      <c r="H8" s="12" t="s">
        <v>51</v>
      </c>
      <c r="I8" s="12" t="s">
        <v>52</v>
      </c>
      <c r="J8" s="12" t="s">
        <v>53</v>
      </c>
      <c r="K8" s="12" t="s">
        <v>54</v>
      </c>
      <c r="L8" s="12" t="s">
        <v>55</v>
      </c>
      <c r="M8" s="12" t="s">
        <v>56</v>
      </c>
      <c r="N8" s="12" t="s">
        <v>57</v>
      </c>
      <c r="O8" s="12" t="s">
        <v>58</v>
      </c>
      <c r="P8" s="12" t="s">
        <v>59</v>
      </c>
    </row>
    <row r="9" customFormat="false" ht="15" hidden="false" customHeight="false" outlineLevel="0" collapsed="false">
      <c r="A9" s="31" t="str">
        <f aca="false">IF('Budget du don'!A9="","",'Budget du don'!A9)</f>
        <v>Sac de riz 25 kg</v>
      </c>
      <c r="B9" s="32" t="str">
        <f aca="false">IF(OR('Budget du don'!A9="",'Budget du don'!B9=""),"",'Budget du don'!B9)</f>
        <v>sac</v>
      </c>
      <c r="C9" s="33" t="n">
        <f aca="false">IF(OR('Budget du don'!A9="",'Budget du don'!C9=""),"",'Budget du don'!C9)</f>
        <v>10</v>
      </c>
      <c r="D9" s="17" t="n">
        <f aca="false">IF(OR('Budget du don'!A9="",'Budget du don'!F9=""),"",'Budget du don'!F9)</f>
        <v>18.2938820684892</v>
      </c>
      <c r="E9" s="18" t="n">
        <f aca="false">IF(D9="","",D9*'Budget du don'!$G$4)</f>
        <v>12000</v>
      </c>
      <c r="F9" s="17" t="n">
        <f aca="false">IF('Budget du don'!H9="","",'Budget du don'!H9)</f>
        <v>182.938820684892</v>
      </c>
      <c r="G9" s="18" t="n">
        <f aca="false">IF(F9="","",F9*'Budget du don'!$G$4)</f>
        <v>120000</v>
      </c>
      <c r="H9" s="14" t="n">
        <v>10</v>
      </c>
      <c r="I9" s="15"/>
      <c r="J9" s="16" t="n">
        <v>12800</v>
      </c>
      <c r="K9" s="19" t="n">
        <f aca="false">IF(OR(H9="",AND(I9="",J9="")),"",H9*IF(I9&lt;&gt;"",I9,J9/'Budget du don'!$G$4))</f>
        <v>195.134742063885</v>
      </c>
      <c r="L9" s="18" t="n">
        <f aca="false">IF(K9="","",K9*'Budget du don'!$G$4)</f>
        <v>128000</v>
      </c>
      <c r="M9" s="17" t="n">
        <f aca="false">IF(OR(F9="",K9=""),"",F9-K9)</f>
        <v>-12.1959213789929</v>
      </c>
      <c r="N9" s="18" t="n">
        <f aca="false">IF(M9="","",M9*'Budget du don'!$G$4)</f>
        <v>-8000.00000000002</v>
      </c>
      <c r="O9" s="34" t="n">
        <f aca="false">IF(OR(D9="",D9=0,H9="",AND(I9="",J9="")),"",(IF(I9&lt;&gt;"",I9,J9/'Budget du don'!$G$4)-D9)/D9)</f>
        <v>0.0666666666666667</v>
      </c>
      <c r="P9" s="4" t="s">
        <v>60</v>
      </c>
    </row>
    <row r="10" customFormat="false" ht="15" hidden="false" customHeight="false" outlineLevel="0" collapsed="false">
      <c r="A10" s="31" t="str">
        <f aca="false">IF('Budget du don'!A10="","",'Budget du don'!A10)</f>
        <v>Cahier 96 pages</v>
      </c>
      <c r="B10" s="32" t="str">
        <f aca="false">IF(OR('Budget du don'!A10="",'Budget du don'!B10=""),"",'Budget du don'!B10)</f>
        <v>pièce</v>
      </c>
      <c r="C10" s="33" t="str">
        <f aca="false">IF(OR('Budget du don'!A10="",'Budget du don'!C10=""),"",'Budget du don'!C10)</f>
        <v/>
      </c>
      <c r="D10" s="17" t="str">
        <f aca="false">IF(OR('Budget du don'!A10="",'Budget du don'!F10=""),"",'Budget du don'!F10)</f>
        <v/>
      </c>
      <c r="E10" s="18" t="str">
        <f aca="false">IF(D10="","",D10*'Budget du don'!$G$4)</f>
        <v/>
      </c>
      <c r="F10" s="17" t="str">
        <f aca="false">IF('Budget du don'!H10="","",'Budget du don'!H10)</f>
        <v/>
      </c>
      <c r="G10" s="18" t="str">
        <f aca="false">IF(F10="","",F10*'Budget du don'!$G$4)</f>
        <v/>
      </c>
      <c r="H10" s="14"/>
      <c r="I10" s="15"/>
      <c r="J10" s="16"/>
      <c r="K10" s="19" t="str">
        <f aca="false">IF(OR(H10="",AND(I10="",J10="")),"",H10*IF(I10&lt;&gt;"",I10,J10/'Budget du don'!$G$4))</f>
        <v/>
      </c>
      <c r="L10" s="18" t="str">
        <f aca="false">IF(K10="","",K10*'Budget du don'!$G$4)</f>
        <v/>
      </c>
      <c r="M10" s="17" t="str">
        <f aca="false">IF(OR(F10="",K10=""),"",F10-K10)</f>
        <v/>
      </c>
      <c r="N10" s="18" t="str">
        <f aca="false">IF(M10="","",M10*'Budget du don'!$G$4)</f>
        <v/>
      </c>
      <c r="O10" s="34" t="str">
        <f aca="false">IF(OR(D10="",D10=0,H10="",AND(I10="",J10="")),"",(IF(I10&lt;&gt;"",I10,J10/'Budget du don'!$G$4)-D10)/D10)</f>
        <v/>
      </c>
      <c r="P10" s="4"/>
    </row>
    <row r="11" customFormat="false" ht="15" hidden="false" customHeight="false" outlineLevel="0" collapsed="false">
      <c r="A11" s="31" t="str">
        <f aca="false">IF('Budget du don'!A11="","",'Budget du don'!A11)</f>
        <v>Stylo bleu</v>
      </c>
      <c r="B11" s="32" t="str">
        <f aca="false">IF(OR('Budget du don'!A11="",'Budget du don'!B11=""),"",'Budget du don'!B11)</f>
        <v>pièce</v>
      </c>
      <c r="C11" s="33" t="str">
        <f aca="false">IF(OR('Budget du don'!A11="",'Budget du don'!C11=""),"",'Budget du don'!C11)</f>
        <v/>
      </c>
      <c r="D11" s="17" t="str">
        <f aca="false">IF(OR('Budget du don'!A11="",'Budget du don'!F11=""),"",'Budget du don'!F11)</f>
        <v/>
      </c>
      <c r="E11" s="18" t="str">
        <f aca="false">IF(D11="","",D11*'Budget du don'!$G$4)</f>
        <v/>
      </c>
      <c r="F11" s="17" t="str">
        <f aca="false">IF('Budget du don'!H11="","",'Budget du don'!H11)</f>
        <v/>
      </c>
      <c r="G11" s="18" t="str">
        <f aca="false">IF(F11="","",F11*'Budget du don'!$G$4)</f>
        <v/>
      </c>
      <c r="H11" s="14"/>
      <c r="I11" s="15"/>
      <c r="J11" s="16"/>
      <c r="K11" s="19" t="str">
        <f aca="false">IF(OR(H11="",AND(I11="",J11="")),"",H11*IF(I11&lt;&gt;"",I11,J11/'Budget du don'!$G$4))</f>
        <v/>
      </c>
      <c r="L11" s="18" t="str">
        <f aca="false">IF(K11="","",K11*'Budget du don'!$G$4)</f>
        <v/>
      </c>
      <c r="M11" s="17" t="str">
        <f aca="false">IF(OR(F11="",K11=""),"",F11-K11)</f>
        <v/>
      </c>
      <c r="N11" s="18" t="str">
        <f aca="false">IF(M11="","",M11*'Budget du don'!$G$4)</f>
        <v/>
      </c>
      <c r="O11" s="34" t="str">
        <f aca="false">IF(OR(D11="",D11=0,H11="",AND(I11="",J11="")),"",(IF(I11&lt;&gt;"",I11,J11/'Budget du don'!$G$4)-D11)/D11)</f>
        <v/>
      </c>
      <c r="P11" s="4"/>
    </row>
    <row r="12" customFormat="false" ht="15" hidden="false" customHeight="false" outlineLevel="0" collapsed="false">
      <c r="A12" s="31" t="str">
        <f aca="false">IF('Budget du don'!A12="","",'Budget du don'!A12)</f>
        <v>Cartable</v>
      </c>
      <c r="B12" s="32" t="str">
        <f aca="false">IF(OR('Budget du don'!A12="",'Budget du don'!B12=""),"",'Budget du don'!B12)</f>
        <v>pièce</v>
      </c>
      <c r="C12" s="33" t="str">
        <f aca="false">IF(OR('Budget du don'!A12="",'Budget du don'!C12=""),"",'Budget du don'!C12)</f>
        <v/>
      </c>
      <c r="D12" s="17" t="str">
        <f aca="false">IF(OR('Budget du don'!A12="",'Budget du don'!F12=""),"",'Budget du don'!F12)</f>
        <v/>
      </c>
      <c r="E12" s="18" t="str">
        <f aca="false">IF(D12="","",D12*'Budget du don'!$G$4)</f>
        <v/>
      </c>
      <c r="F12" s="17" t="str">
        <f aca="false">IF('Budget du don'!H12="","",'Budget du don'!H12)</f>
        <v/>
      </c>
      <c r="G12" s="18" t="str">
        <f aca="false">IF(F12="","",F12*'Budget du don'!$G$4)</f>
        <v/>
      </c>
      <c r="H12" s="14"/>
      <c r="I12" s="15"/>
      <c r="J12" s="16"/>
      <c r="K12" s="19" t="str">
        <f aca="false">IF(OR(H12="",AND(I12="",J12="")),"",H12*IF(I12&lt;&gt;"",I12,J12/'Budget du don'!$G$4))</f>
        <v/>
      </c>
      <c r="L12" s="18" t="str">
        <f aca="false">IF(K12="","",K12*'Budget du don'!$G$4)</f>
        <v/>
      </c>
      <c r="M12" s="17" t="str">
        <f aca="false">IF(OR(F12="",K12=""),"",F12-K12)</f>
        <v/>
      </c>
      <c r="N12" s="18" t="str">
        <f aca="false">IF(M12="","",M12*'Budget du don'!$G$4)</f>
        <v/>
      </c>
      <c r="O12" s="34" t="str">
        <f aca="false">IF(OR(D12="",D12=0,H12="",AND(I12="",J12="")),"",(IF(I12&lt;&gt;"",I12,J12/'Budget du don'!$G$4)-D12)/D12)</f>
        <v/>
      </c>
      <c r="P12" s="4"/>
    </row>
    <row r="13" customFormat="false" ht="15" hidden="false" customHeight="false" outlineLevel="0" collapsed="false">
      <c r="A13" s="31" t="str">
        <f aca="false">IF('Budget du don'!A13="","",'Budget du don'!A13)</f>
        <v>Craie blanche</v>
      </c>
      <c r="B13" s="32" t="str">
        <f aca="false">IF(OR('Budget du don'!A13="",'Budget du don'!B13=""),"",'Budget du don'!B13)</f>
        <v>boîte de 100</v>
      </c>
      <c r="C13" s="33" t="str">
        <f aca="false">IF(OR('Budget du don'!A13="",'Budget du don'!C13=""),"",'Budget du don'!C13)</f>
        <v/>
      </c>
      <c r="D13" s="17" t="str">
        <f aca="false">IF(OR('Budget du don'!A13="",'Budget du don'!F13=""),"",'Budget du don'!F13)</f>
        <v/>
      </c>
      <c r="E13" s="18" t="str">
        <f aca="false">IF(D13="","",D13*'Budget du don'!$G$4)</f>
        <v/>
      </c>
      <c r="F13" s="17" t="str">
        <f aca="false">IF('Budget du don'!H13="","",'Budget du don'!H13)</f>
        <v/>
      </c>
      <c r="G13" s="18" t="str">
        <f aca="false">IF(F13="","",F13*'Budget du don'!$G$4)</f>
        <v/>
      </c>
      <c r="H13" s="14"/>
      <c r="I13" s="15"/>
      <c r="J13" s="16"/>
      <c r="K13" s="19" t="str">
        <f aca="false">IF(OR(H13="",AND(I13="",J13="")),"",H13*IF(I13&lt;&gt;"",I13,J13/'Budget du don'!$G$4))</f>
        <v/>
      </c>
      <c r="L13" s="18" t="str">
        <f aca="false">IF(K13="","",K13*'Budget du don'!$G$4)</f>
        <v/>
      </c>
      <c r="M13" s="17" t="str">
        <f aca="false">IF(OR(F13="",K13=""),"",F13-K13)</f>
        <v/>
      </c>
      <c r="N13" s="18" t="str">
        <f aca="false">IF(M13="","",M13*'Budget du don'!$G$4)</f>
        <v/>
      </c>
      <c r="O13" s="34" t="str">
        <f aca="false">IF(OR(D13="",D13=0,H13="",AND(I13="",J13="")),"",(IF(I13&lt;&gt;"",I13,J13/'Budget du don'!$G$4)-D13)/D13)</f>
        <v/>
      </c>
      <c r="P13" s="4"/>
    </row>
    <row r="14" customFormat="false" ht="15" hidden="false" customHeight="false" outlineLevel="0" collapsed="false">
      <c r="A14" s="31" t="str">
        <f aca="false">IF('Budget du don'!A14="","",'Budget du don'!A14)</f>
        <v>Huile végétale</v>
      </c>
      <c r="B14" s="32" t="str">
        <f aca="false">IF(OR('Budget du don'!A14="",'Budget du don'!B14=""),"",'Budget du don'!B14)</f>
        <v>bidon 1 L</v>
      </c>
      <c r="C14" s="33" t="str">
        <f aca="false">IF(OR('Budget du don'!A14="",'Budget du don'!C14=""),"",'Budget du don'!C14)</f>
        <v/>
      </c>
      <c r="D14" s="17" t="str">
        <f aca="false">IF(OR('Budget du don'!A14="",'Budget du don'!F14=""),"",'Budget du don'!F14)</f>
        <v/>
      </c>
      <c r="E14" s="18" t="str">
        <f aca="false">IF(D14="","",D14*'Budget du don'!$G$4)</f>
        <v/>
      </c>
      <c r="F14" s="17" t="str">
        <f aca="false">IF('Budget du don'!H14="","",'Budget du don'!H14)</f>
        <v/>
      </c>
      <c r="G14" s="18" t="str">
        <f aca="false">IF(F14="","",F14*'Budget du don'!$G$4)</f>
        <v/>
      </c>
      <c r="H14" s="14"/>
      <c r="I14" s="15"/>
      <c r="J14" s="16"/>
      <c r="K14" s="19" t="str">
        <f aca="false">IF(OR(H14="",AND(I14="",J14="")),"",H14*IF(I14&lt;&gt;"",I14,J14/'Budget du don'!$G$4))</f>
        <v/>
      </c>
      <c r="L14" s="18" t="str">
        <f aca="false">IF(K14="","",K14*'Budget du don'!$G$4)</f>
        <v/>
      </c>
      <c r="M14" s="17" t="str">
        <f aca="false">IF(OR(F14="",K14=""),"",F14-K14)</f>
        <v/>
      </c>
      <c r="N14" s="18" t="str">
        <f aca="false">IF(M14="","",M14*'Budget du don'!$G$4)</f>
        <v/>
      </c>
      <c r="O14" s="34" t="str">
        <f aca="false">IF(OR(D14="",D14=0,H14="",AND(I14="",J14="")),"",(IF(I14&lt;&gt;"",I14,J14/'Budget du don'!$G$4)-D14)/D14)</f>
        <v/>
      </c>
      <c r="P14" s="4"/>
    </row>
    <row r="15" customFormat="false" ht="15" hidden="false" customHeight="false" outlineLevel="0" collapsed="false">
      <c r="A15" s="31" t="str">
        <f aca="false">IF('Budget du don'!A15="","",'Budget du don'!A15)</f>
        <v>Savon</v>
      </c>
      <c r="B15" s="32" t="str">
        <f aca="false">IF(OR('Budget du don'!A15="",'Budget du don'!B15=""),"",'Budget du don'!B15)</f>
        <v>pièce</v>
      </c>
      <c r="C15" s="33" t="str">
        <f aca="false">IF(OR('Budget du don'!A15="",'Budget du don'!C15=""),"",'Budget du don'!C15)</f>
        <v/>
      </c>
      <c r="D15" s="17" t="str">
        <f aca="false">IF(OR('Budget du don'!A15="",'Budget du don'!F15=""),"",'Budget du don'!F15)</f>
        <v/>
      </c>
      <c r="E15" s="18" t="str">
        <f aca="false">IF(D15="","",D15*'Budget du don'!$G$4)</f>
        <v/>
      </c>
      <c r="F15" s="17" t="str">
        <f aca="false">IF('Budget du don'!H15="","",'Budget du don'!H15)</f>
        <v/>
      </c>
      <c r="G15" s="18" t="str">
        <f aca="false">IF(F15="","",F15*'Budget du don'!$G$4)</f>
        <v/>
      </c>
      <c r="H15" s="14"/>
      <c r="I15" s="15"/>
      <c r="J15" s="16"/>
      <c r="K15" s="19" t="str">
        <f aca="false">IF(OR(H15="",AND(I15="",J15="")),"",H15*IF(I15&lt;&gt;"",I15,J15/'Budget du don'!$G$4))</f>
        <v/>
      </c>
      <c r="L15" s="18" t="str">
        <f aca="false">IF(K15="","",K15*'Budget du don'!$G$4)</f>
        <v/>
      </c>
      <c r="M15" s="17" t="str">
        <f aca="false">IF(OR(F15="",K15=""),"",F15-K15)</f>
        <v/>
      </c>
      <c r="N15" s="18" t="str">
        <f aca="false">IF(M15="","",M15*'Budget du don'!$G$4)</f>
        <v/>
      </c>
      <c r="O15" s="34" t="str">
        <f aca="false">IF(OR(D15="",D15=0,H15="",AND(I15="",J15="")),"",(IF(I15&lt;&gt;"",I15,J15/'Budget du don'!$G$4)-D15)/D15)</f>
        <v/>
      </c>
      <c r="P15" s="4"/>
    </row>
    <row r="16" customFormat="false" ht="15" hidden="false" customHeight="false" outlineLevel="0" collapsed="false">
      <c r="A16" s="31" t="str">
        <f aca="false">IF('Budget du don'!A16="","",'Budget du don'!A16)</f>
        <v>Vêtements enfant</v>
      </c>
      <c r="B16" s="32" t="str">
        <f aca="false">IF(OR('Budget du don'!A16="",'Budget du don'!B16=""),"",'Budget du don'!B16)</f>
        <v>lot</v>
      </c>
      <c r="C16" s="33" t="str">
        <f aca="false">IF(OR('Budget du don'!A16="",'Budget du don'!C16=""),"",'Budget du don'!C16)</f>
        <v/>
      </c>
      <c r="D16" s="17" t="str">
        <f aca="false">IF(OR('Budget du don'!A16="",'Budget du don'!F16=""),"",'Budget du don'!F16)</f>
        <v/>
      </c>
      <c r="E16" s="18" t="str">
        <f aca="false">IF(D16="","",D16*'Budget du don'!$G$4)</f>
        <v/>
      </c>
      <c r="F16" s="17" t="str">
        <f aca="false">IF('Budget du don'!H16="","",'Budget du don'!H16)</f>
        <v/>
      </c>
      <c r="G16" s="18" t="str">
        <f aca="false">IF(F16="","",F16*'Budget du don'!$G$4)</f>
        <v/>
      </c>
      <c r="H16" s="14"/>
      <c r="I16" s="15"/>
      <c r="J16" s="16"/>
      <c r="K16" s="19" t="str">
        <f aca="false">IF(OR(H16="",AND(I16="",J16="")),"",H16*IF(I16&lt;&gt;"",I16,J16/'Budget du don'!$G$4))</f>
        <v/>
      </c>
      <c r="L16" s="18" t="str">
        <f aca="false">IF(K16="","",K16*'Budget du don'!$G$4)</f>
        <v/>
      </c>
      <c r="M16" s="17" t="str">
        <f aca="false">IF(OR(F16="",K16=""),"",F16-K16)</f>
        <v/>
      </c>
      <c r="N16" s="18" t="str">
        <f aca="false">IF(M16="","",M16*'Budget du don'!$G$4)</f>
        <v/>
      </c>
      <c r="O16" s="34" t="str">
        <f aca="false">IF(OR(D16="",D16=0,H16="",AND(I16="",J16="")),"",(IF(I16&lt;&gt;"",I16,J16/'Budget du don'!$G$4)-D16)/D16)</f>
        <v/>
      </c>
      <c r="P16" s="4"/>
    </row>
    <row r="17" customFormat="false" ht="15" hidden="false" customHeight="false" outlineLevel="0" collapsed="false">
      <c r="A17" s="31" t="str">
        <f aca="false">IF('Budget du don'!A17="","",'Budget du don'!A17)</f>
        <v/>
      </c>
      <c r="B17" s="32" t="str">
        <f aca="false">IF(OR('Budget du don'!A17="",'Budget du don'!B17=""),"",'Budget du don'!B17)</f>
        <v/>
      </c>
      <c r="C17" s="33" t="str">
        <f aca="false">IF(OR('Budget du don'!A17="",'Budget du don'!C17=""),"",'Budget du don'!C17)</f>
        <v/>
      </c>
      <c r="D17" s="17" t="str">
        <f aca="false">IF(OR('Budget du don'!A17="",'Budget du don'!F17=""),"",'Budget du don'!F17)</f>
        <v/>
      </c>
      <c r="E17" s="18" t="str">
        <f aca="false">IF(D17="","",D17*'Budget du don'!$G$4)</f>
        <v/>
      </c>
      <c r="F17" s="17" t="str">
        <f aca="false">IF('Budget du don'!H17="","",'Budget du don'!H17)</f>
        <v/>
      </c>
      <c r="G17" s="18" t="str">
        <f aca="false">IF(F17="","",F17*'Budget du don'!$G$4)</f>
        <v/>
      </c>
      <c r="H17" s="14"/>
      <c r="I17" s="15"/>
      <c r="J17" s="16"/>
      <c r="K17" s="19" t="str">
        <f aca="false">IF(OR(H17="",AND(I17="",J17="")),"",H17*IF(I17&lt;&gt;"",I17,J17/'Budget du don'!$G$4))</f>
        <v/>
      </c>
      <c r="L17" s="18" t="str">
        <f aca="false">IF(K17="","",K17*'Budget du don'!$G$4)</f>
        <v/>
      </c>
      <c r="M17" s="17" t="str">
        <f aca="false">IF(OR(F17="",K17=""),"",F17-K17)</f>
        <v/>
      </c>
      <c r="N17" s="18" t="str">
        <f aca="false">IF(M17="","",M17*'Budget du don'!$G$4)</f>
        <v/>
      </c>
      <c r="O17" s="34" t="str">
        <f aca="false">IF(OR(D17="",D17=0,H17="",AND(I17="",J17="")),"",(IF(I17&lt;&gt;"",I17,J17/'Budget du don'!$G$4)-D17)/D17)</f>
        <v/>
      </c>
      <c r="P17" s="4"/>
    </row>
    <row r="18" customFormat="false" ht="15" hidden="false" customHeight="false" outlineLevel="0" collapsed="false">
      <c r="A18" s="31" t="str">
        <f aca="false">IF('Budget du don'!A18="","",'Budget du don'!A18)</f>
        <v/>
      </c>
      <c r="B18" s="32" t="str">
        <f aca="false">IF(OR('Budget du don'!A18="",'Budget du don'!B18=""),"",'Budget du don'!B18)</f>
        <v/>
      </c>
      <c r="C18" s="33" t="str">
        <f aca="false">IF(OR('Budget du don'!A18="",'Budget du don'!C18=""),"",'Budget du don'!C18)</f>
        <v/>
      </c>
      <c r="D18" s="17" t="str">
        <f aca="false">IF(OR('Budget du don'!A18="",'Budget du don'!F18=""),"",'Budget du don'!F18)</f>
        <v/>
      </c>
      <c r="E18" s="18" t="str">
        <f aca="false">IF(D18="","",D18*'Budget du don'!$G$4)</f>
        <v/>
      </c>
      <c r="F18" s="17" t="str">
        <f aca="false">IF('Budget du don'!H18="","",'Budget du don'!H18)</f>
        <v/>
      </c>
      <c r="G18" s="18" t="str">
        <f aca="false">IF(F18="","",F18*'Budget du don'!$G$4)</f>
        <v/>
      </c>
      <c r="H18" s="14"/>
      <c r="I18" s="15"/>
      <c r="J18" s="16"/>
      <c r="K18" s="19" t="str">
        <f aca="false">IF(OR(H18="",AND(I18="",J18="")),"",H18*IF(I18&lt;&gt;"",I18,J18/'Budget du don'!$G$4))</f>
        <v/>
      </c>
      <c r="L18" s="18" t="str">
        <f aca="false">IF(K18="","",K18*'Budget du don'!$G$4)</f>
        <v/>
      </c>
      <c r="M18" s="17" t="str">
        <f aca="false">IF(OR(F18="",K18=""),"",F18-K18)</f>
        <v/>
      </c>
      <c r="N18" s="18" t="str">
        <f aca="false">IF(M18="","",M18*'Budget du don'!$G$4)</f>
        <v/>
      </c>
      <c r="O18" s="34" t="str">
        <f aca="false">IF(OR(D18="",D18=0,H18="",AND(I18="",J18="")),"",(IF(I18&lt;&gt;"",I18,J18/'Budget du don'!$G$4)-D18)/D18)</f>
        <v/>
      </c>
      <c r="P18" s="4"/>
    </row>
    <row r="19" customFormat="false" ht="15" hidden="false" customHeight="false" outlineLevel="0" collapsed="false">
      <c r="A19" s="31" t="str">
        <f aca="false">IF('Budget du don'!A19="","",'Budget du don'!A19)</f>
        <v/>
      </c>
      <c r="B19" s="32" t="str">
        <f aca="false">IF(OR('Budget du don'!A19="",'Budget du don'!B19=""),"",'Budget du don'!B19)</f>
        <v/>
      </c>
      <c r="C19" s="33" t="str">
        <f aca="false">IF(OR('Budget du don'!A19="",'Budget du don'!C19=""),"",'Budget du don'!C19)</f>
        <v/>
      </c>
      <c r="D19" s="17" t="str">
        <f aca="false">IF(OR('Budget du don'!A19="",'Budget du don'!F19=""),"",'Budget du don'!F19)</f>
        <v/>
      </c>
      <c r="E19" s="18" t="str">
        <f aca="false">IF(D19="","",D19*'Budget du don'!$G$4)</f>
        <v/>
      </c>
      <c r="F19" s="17" t="str">
        <f aca="false">IF('Budget du don'!H19="","",'Budget du don'!H19)</f>
        <v/>
      </c>
      <c r="G19" s="18" t="str">
        <f aca="false">IF(F19="","",F19*'Budget du don'!$G$4)</f>
        <v/>
      </c>
      <c r="H19" s="14"/>
      <c r="I19" s="15"/>
      <c r="J19" s="16"/>
      <c r="K19" s="19" t="str">
        <f aca="false">IF(OR(H19="",AND(I19="",J19="")),"",H19*IF(I19&lt;&gt;"",I19,J19/'Budget du don'!$G$4))</f>
        <v/>
      </c>
      <c r="L19" s="18" t="str">
        <f aca="false">IF(K19="","",K19*'Budget du don'!$G$4)</f>
        <v/>
      </c>
      <c r="M19" s="17" t="str">
        <f aca="false">IF(OR(F19="",K19=""),"",F19-K19)</f>
        <v/>
      </c>
      <c r="N19" s="18" t="str">
        <f aca="false">IF(M19="","",M19*'Budget du don'!$G$4)</f>
        <v/>
      </c>
      <c r="O19" s="34" t="str">
        <f aca="false">IF(OR(D19="",D19=0,H19="",AND(I19="",J19="")),"",(IF(I19&lt;&gt;"",I19,J19/'Budget du don'!$G$4)-D19)/D19)</f>
        <v/>
      </c>
      <c r="P19" s="4"/>
    </row>
    <row r="20" customFormat="false" ht="15" hidden="false" customHeight="false" outlineLevel="0" collapsed="false">
      <c r="A20" s="31" t="str">
        <f aca="false">IF('Budget du don'!A20="","",'Budget du don'!A20)</f>
        <v/>
      </c>
      <c r="B20" s="32" t="str">
        <f aca="false">IF(OR('Budget du don'!A20="",'Budget du don'!B20=""),"",'Budget du don'!B20)</f>
        <v/>
      </c>
      <c r="C20" s="33" t="str">
        <f aca="false">IF(OR('Budget du don'!A20="",'Budget du don'!C20=""),"",'Budget du don'!C20)</f>
        <v/>
      </c>
      <c r="D20" s="17" t="str">
        <f aca="false">IF(OR('Budget du don'!A20="",'Budget du don'!F20=""),"",'Budget du don'!F20)</f>
        <v/>
      </c>
      <c r="E20" s="18" t="str">
        <f aca="false">IF(D20="","",D20*'Budget du don'!$G$4)</f>
        <v/>
      </c>
      <c r="F20" s="17" t="str">
        <f aca="false">IF('Budget du don'!H20="","",'Budget du don'!H20)</f>
        <v/>
      </c>
      <c r="G20" s="18" t="str">
        <f aca="false">IF(F20="","",F20*'Budget du don'!$G$4)</f>
        <v/>
      </c>
      <c r="H20" s="14"/>
      <c r="I20" s="15"/>
      <c r="J20" s="16"/>
      <c r="K20" s="19" t="str">
        <f aca="false">IF(OR(H20="",AND(I20="",J20="")),"",H20*IF(I20&lt;&gt;"",I20,J20/'Budget du don'!$G$4))</f>
        <v/>
      </c>
      <c r="L20" s="18" t="str">
        <f aca="false">IF(K20="","",K20*'Budget du don'!$G$4)</f>
        <v/>
      </c>
      <c r="M20" s="17" t="str">
        <f aca="false">IF(OR(F20="",K20=""),"",F20-K20)</f>
        <v/>
      </c>
      <c r="N20" s="18" t="str">
        <f aca="false">IF(M20="","",M20*'Budget du don'!$G$4)</f>
        <v/>
      </c>
      <c r="O20" s="34" t="str">
        <f aca="false">IF(OR(D20="",D20=0,H20="",AND(I20="",J20="")),"",(IF(I20&lt;&gt;"",I20,J20/'Budget du don'!$G$4)-D20)/D20)</f>
        <v/>
      </c>
      <c r="P20" s="4"/>
    </row>
    <row r="21" customFormat="false" ht="15" hidden="false" customHeight="false" outlineLevel="0" collapsed="false">
      <c r="A21" s="31" t="str">
        <f aca="false">IF('Budget du don'!A21="","",'Budget du don'!A21)</f>
        <v/>
      </c>
      <c r="B21" s="32" t="str">
        <f aca="false">IF(OR('Budget du don'!A21="",'Budget du don'!B21=""),"",'Budget du don'!B21)</f>
        <v/>
      </c>
      <c r="C21" s="33" t="str">
        <f aca="false">IF(OR('Budget du don'!A21="",'Budget du don'!C21=""),"",'Budget du don'!C21)</f>
        <v/>
      </c>
      <c r="D21" s="17" t="str">
        <f aca="false">IF(OR('Budget du don'!A21="",'Budget du don'!F21=""),"",'Budget du don'!F21)</f>
        <v/>
      </c>
      <c r="E21" s="18" t="str">
        <f aca="false">IF(D21="","",D21*'Budget du don'!$G$4)</f>
        <v/>
      </c>
      <c r="F21" s="17" t="str">
        <f aca="false">IF('Budget du don'!H21="","",'Budget du don'!H21)</f>
        <v/>
      </c>
      <c r="G21" s="18" t="str">
        <f aca="false">IF(F21="","",F21*'Budget du don'!$G$4)</f>
        <v/>
      </c>
      <c r="H21" s="14"/>
      <c r="I21" s="15"/>
      <c r="J21" s="16"/>
      <c r="K21" s="19" t="str">
        <f aca="false">IF(OR(H21="",AND(I21="",J21="")),"",H21*IF(I21&lt;&gt;"",I21,J21/'Budget du don'!$G$4))</f>
        <v/>
      </c>
      <c r="L21" s="18" t="str">
        <f aca="false">IF(K21="","",K21*'Budget du don'!$G$4)</f>
        <v/>
      </c>
      <c r="M21" s="17" t="str">
        <f aca="false">IF(OR(F21="",K21=""),"",F21-K21)</f>
        <v/>
      </c>
      <c r="N21" s="18" t="str">
        <f aca="false">IF(M21="","",M21*'Budget du don'!$G$4)</f>
        <v/>
      </c>
      <c r="O21" s="34" t="str">
        <f aca="false">IF(OR(D21="",D21=0,H21="",AND(I21="",J21="")),"",(IF(I21&lt;&gt;"",I21,J21/'Budget du don'!$G$4)-D21)/D21)</f>
        <v/>
      </c>
      <c r="P21" s="4"/>
    </row>
    <row r="22" customFormat="false" ht="15" hidden="false" customHeight="false" outlineLevel="0" collapsed="false">
      <c r="A22" s="31" t="str">
        <f aca="false">IF('Budget du don'!A22="","",'Budget du don'!A22)</f>
        <v/>
      </c>
      <c r="B22" s="32" t="str">
        <f aca="false">IF(OR('Budget du don'!A22="",'Budget du don'!B22=""),"",'Budget du don'!B22)</f>
        <v/>
      </c>
      <c r="C22" s="33" t="str">
        <f aca="false">IF(OR('Budget du don'!A22="",'Budget du don'!C22=""),"",'Budget du don'!C22)</f>
        <v/>
      </c>
      <c r="D22" s="17" t="str">
        <f aca="false">IF(OR('Budget du don'!A22="",'Budget du don'!F22=""),"",'Budget du don'!F22)</f>
        <v/>
      </c>
      <c r="E22" s="18" t="str">
        <f aca="false">IF(D22="","",D22*'Budget du don'!$G$4)</f>
        <v/>
      </c>
      <c r="F22" s="17" t="str">
        <f aca="false">IF('Budget du don'!H22="","",'Budget du don'!H22)</f>
        <v/>
      </c>
      <c r="G22" s="18" t="str">
        <f aca="false">IF(F22="","",F22*'Budget du don'!$G$4)</f>
        <v/>
      </c>
      <c r="H22" s="14"/>
      <c r="I22" s="15"/>
      <c r="J22" s="16"/>
      <c r="K22" s="19" t="str">
        <f aca="false">IF(OR(H22="",AND(I22="",J22="")),"",H22*IF(I22&lt;&gt;"",I22,J22/'Budget du don'!$G$4))</f>
        <v/>
      </c>
      <c r="L22" s="18" t="str">
        <f aca="false">IF(K22="","",K22*'Budget du don'!$G$4)</f>
        <v/>
      </c>
      <c r="M22" s="17" t="str">
        <f aca="false">IF(OR(F22="",K22=""),"",F22-K22)</f>
        <v/>
      </c>
      <c r="N22" s="18" t="str">
        <f aca="false">IF(M22="","",M22*'Budget du don'!$G$4)</f>
        <v/>
      </c>
      <c r="O22" s="34" t="str">
        <f aca="false">IF(OR(D22="",D22=0,H22="",AND(I22="",J22="")),"",(IF(I22&lt;&gt;"",I22,J22/'Budget du don'!$G$4)-D22)/D22)</f>
        <v/>
      </c>
      <c r="P22" s="4"/>
    </row>
    <row r="23" customFormat="false" ht="15" hidden="false" customHeight="false" outlineLevel="0" collapsed="false">
      <c r="A23" s="31" t="str">
        <f aca="false">IF('Budget du don'!A23="","",'Budget du don'!A23)</f>
        <v/>
      </c>
      <c r="B23" s="32" t="str">
        <f aca="false">IF(OR('Budget du don'!A23="",'Budget du don'!B23=""),"",'Budget du don'!B23)</f>
        <v/>
      </c>
      <c r="C23" s="33" t="str">
        <f aca="false">IF(OR('Budget du don'!A23="",'Budget du don'!C23=""),"",'Budget du don'!C23)</f>
        <v/>
      </c>
      <c r="D23" s="17" t="str">
        <f aca="false">IF(OR('Budget du don'!A23="",'Budget du don'!F23=""),"",'Budget du don'!F23)</f>
        <v/>
      </c>
      <c r="E23" s="18" t="str">
        <f aca="false">IF(D23="","",D23*'Budget du don'!$G$4)</f>
        <v/>
      </c>
      <c r="F23" s="17" t="str">
        <f aca="false">IF('Budget du don'!H23="","",'Budget du don'!H23)</f>
        <v/>
      </c>
      <c r="G23" s="18" t="str">
        <f aca="false">IF(F23="","",F23*'Budget du don'!$G$4)</f>
        <v/>
      </c>
      <c r="H23" s="14"/>
      <c r="I23" s="15"/>
      <c r="J23" s="16"/>
      <c r="K23" s="19" t="str">
        <f aca="false">IF(OR(H23="",AND(I23="",J23="")),"",H23*IF(I23&lt;&gt;"",I23,J23/'Budget du don'!$G$4))</f>
        <v/>
      </c>
      <c r="L23" s="18" t="str">
        <f aca="false">IF(K23="","",K23*'Budget du don'!$G$4)</f>
        <v/>
      </c>
      <c r="M23" s="17" t="str">
        <f aca="false">IF(OR(F23="",K23=""),"",F23-K23)</f>
        <v/>
      </c>
      <c r="N23" s="18" t="str">
        <f aca="false">IF(M23="","",M23*'Budget du don'!$G$4)</f>
        <v/>
      </c>
      <c r="O23" s="34" t="str">
        <f aca="false">IF(OR(D23="",D23=0,H23="",AND(I23="",J23="")),"",(IF(I23&lt;&gt;"",I23,J23/'Budget du don'!$G$4)-D23)/D23)</f>
        <v/>
      </c>
      <c r="P23" s="4"/>
    </row>
    <row r="24" customFormat="false" ht="15" hidden="false" customHeight="false" outlineLevel="0" collapsed="false">
      <c r="A24" s="31" t="str">
        <f aca="false">IF('Budget du don'!A24="","",'Budget du don'!A24)</f>
        <v/>
      </c>
      <c r="B24" s="32" t="str">
        <f aca="false">IF(OR('Budget du don'!A24="",'Budget du don'!B24=""),"",'Budget du don'!B24)</f>
        <v/>
      </c>
      <c r="C24" s="33" t="str">
        <f aca="false">IF(OR('Budget du don'!A24="",'Budget du don'!C24=""),"",'Budget du don'!C24)</f>
        <v/>
      </c>
      <c r="D24" s="17" t="str">
        <f aca="false">IF(OR('Budget du don'!A24="",'Budget du don'!F24=""),"",'Budget du don'!F24)</f>
        <v/>
      </c>
      <c r="E24" s="18" t="str">
        <f aca="false">IF(D24="","",D24*'Budget du don'!$G$4)</f>
        <v/>
      </c>
      <c r="F24" s="17" t="str">
        <f aca="false">IF('Budget du don'!H24="","",'Budget du don'!H24)</f>
        <v/>
      </c>
      <c r="G24" s="18" t="str">
        <f aca="false">IF(F24="","",F24*'Budget du don'!$G$4)</f>
        <v/>
      </c>
      <c r="H24" s="14"/>
      <c r="I24" s="15"/>
      <c r="J24" s="16"/>
      <c r="K24" s="19" t="str">
        <f aca="false">IF(OR(H24="",AND(I24="",J24="")),"",H24*IF(I24&lt;&gt;"",I24,J24/'Budget du don'!$G$4))</f>
        <v/>
      </c>
      <c r="L24" s="18" t="str">
        <f aca="false">IF(K24="","",K24*'Budget du don'!$G$4)</f>
        <v/>
      </c>
      <c r="M24" s="17" t="str">
        <f aca="false">IF(OR(F24="",K24=""),"",F24-K24)</f>
        <v/>
      </c>
      <c r="N24" s="18" t="str">
        <f aca="false">IF(M24="","",M24*'Budget du don'!$G$4)</f>
        <v/>
      </c>
      <c r="O24" s="34" t="str">
        <f aca="false">IF(OR(D24="",D24=0,H24="",AND(I24="",J24="")),"",(IF(I24&lt;&gt;"",I24,J24/'Budget du don'!$G$4)-D24)/D24)</f>
        <v/>
      </c>
      <c r="P24" s="4"/>
    </row>
    <row r="25" customFormat="false" ht="15" hidden="false" customHeight="false" outlineLevel="0" collapsed="false">
      <c r="A25" s="31" t="str">
        <f aca="false">IF('Budget du don'!A25="","",'Budget du don'!A25)</f>
        <v/>
      </c>
      <c r="B25" s="32" t="str">
        <f aca="false">IF(OR('Budget du don'!A25="",'Budget du don'!B25=""),"",'Budget du don'!B25)</f>
        <v/>
      </c>
      <c r="C25" s="33" t="str">
        <f aca="false">IF(OR('Budget du don'!A25="",'Budget du don'!C25=""),"",'Budget du don'!C25)</f>
        <v/>
      </c>
      <c r="D25" s="17" t="str">
        <f aca="false">IF(OR('Budget du don'!A25="",'Budget du don'!F25=""),"",'Budget du don'!F25)</f>
        <v/>
      </c>
      <c r="E25" s="18" t="str">
        <f aca="false">IF(D25="","",D25*'Budget du don'!$G$4)</f>
        <v/>
      </c>
      <c r="F25" s="17" t="str">
        <f aca="false">IF('Budget du don'!H25="","",'Budget du don'!H25)</f>
        <v/>
      </c>
      <c r="G25" s="18" t="str">
        <f aca="false">IF(F25="","",F25*'Budget du don'!$G$4)</f>
        <v/>
      </c>
      <c r="H25" s="14"/>
      <c r="I25" s="15"/>
      <c r="J25" s="16"/>
      <c r="K25" s="19" t="str">
        <f aca="false">IF(OR(H25="",AND(I25="",J25="")),"",H25*IF(I25&lt;&gt;"",I25,J25/'Budget du don'!$G$4))</f>
        <v/>
      </c>
      <c r="L25" s="18" t="str">
        <f aca="false">IF(K25="","",K25*'Budget du don'!$G$4)</f>
        <v/>
      </c>
      <c r="M25" s="17" t="str">
        <f aca="false">IF(OR(F25="",K25=""),"",F25-K25)</f>
        <v/>
      </c>
      <c r="N25" s="18" t="str">
        <f aca="false">IF(M25="","",M25*'Budget du don'!$G$4)</f>
        <v/>
      </c>
      <c r="O25" s="34" t="str">
        <f aca="false">IF(OR(D25="",D25=0,H25="",AND(I25="",J25="")),"",(IF(I25&lt;&gt;"",I25,J25/'Budget du don'!$G$4)-D25)/D25)</f>
        <v/>
      </c>
      <c r="P25" s="4"/>
    </row>
    <row r="26" customFormat="false" ht="15" hidden="false" customHeight="false" outlineLevel="0" collapsed="false">
      <c r="A26" s="31" t="str">
        <f aca="false">IF('Budget du don'!A26="","",'Budget du don'!A26)</f>
        <v/>
      </c>
      <c r="B26" s="32" t="str">
        <f aca="false">IF(OR('Budget du don'!A26="",'Budget du don'!B26=""),"",'Budget du don'!B26)</f>
        <v/>
      </c>
      <c r="C26" s="33" t="str">
        <f aca="false">IF(OR('Budget du don'!A26="",'Budget du don'!C26=""),"",'Budget du don'!C26)</f>
        <v/>
      </c>
      <c r="D26" s="17" t="str">
        <f aca="false">IF(OR('Budget du don'!A26="",'Budget du don'!F26=""),"",'Budget du don'!F26)</f>
        <v/>
      </c>
      <c r="E26" s="18" t="str">
        <f aca="false">IF(D26="","",D26*'Budget du don'!$G$4)</f>
        <v/>
      </c>
      <c r="F26" s="17" t="str">
        <f aca="false">IF('Budget du don'!H26="","",'Budget du don'!H26)</f>
        <v/>
      </c>
      <c r="G26" s="18" t="str">
        <f aca="false">IF(F26="","",F26*'Budget du don'!$G$4)</f>
        <v/>
      </c>
      <c r="H26" s="14"/>
      <c r="I26" s="15"/>
      <c r="J26" s="16"/>
      <c r="K26" s="19" t="str">
        <f aca="false">IF(OR(H26="",AND(I26="",J26="")),"",H26*IF(I26&lt;&gt;"",I26,J26/'Budget du don'!$G$4))</f>
        <v/>
      </c>
      <c r="L26" s="18" t="str">
        <f aca="false">IF(K26="","",K26*'Budget du don'!$G$4)</f>
        <v/>
      </c>
      <c r="M26" s="17" t="str">
        <f aca="false">IF(OR(F26="",K26=""),"",F26-K26)</f>
        <v/>
      </c>
      <c r="N26" s="18" t="str">
        <f aca="false">IF(M26="","",M26*'Budget du don'!$G$4)</f>
        <v/>
      </c>
      <c r="O26" s="34" t="str">
        <f aca="false">IF(OR(D26="",D26=0,H26="",AND(I26="",J26="")),"",(IF(I26&lt;&gt;"",I26,J26/'Budget du don'!$G$4)-D26)/D26)</f>
        <v/>
      </c>
      <c r="P26" s="4"/>
    </row>
    <row r="27" customFormat="false" ht="15" hidden="false" customHeight="false" outlineLevel="0" collapsed="false">
      <c r="A27" s="31" t="str">
        <f aca="false">IF('Budget du don'!A27="","",'Budget du don'!A27)</f>
        <v/>
      </c>
      <c r="B27" s="32" t="str">
        <f aca="false">IF(OR('Budget du don'!A27="",'Budget du don'!B27=""),"",'Budget du don'!B27)</f>
        <v/>
      </c>
      <c r="C27" s="33" t="str">
        <f aca="false">IF(OR('Budget du don'!A27="",'Budget du don'!C27=""),"",'Budget du don'!C27)</f>
        <v/>
      </c>
      <c r="D27" s="17" t="str">
        <f aca="false">IF(OR('Budget du don'!A27="",'Budget du don'!F27=""),"",'Budget du don'!F27)</f>
        <v/>
      </c>
      <c r="E27" s="18" t="str">
        <f aca="false">IF(D27="","",D27*'Budget du don'!$G$4)</f>
        <v/>
      </c>
      <c r="F27" s="17" t="str">
        <f aca="false">IF('Budget du don'!H27="","",'Budget du don'!H27)</f>
        <v/>
      </c>
      <c r="G27" s="18" t="str">
        <f aca="false">IF(F27="","",F27*'Budget du don'!$G$4)</f>
        <v/>
      </c>
      <c r="H27" s="14"/>
      <c r="I27" s="15"/>
      <c r="J27" s="16"/>
      <c r="K27" s="19" t="str">
        <f aca="false">IF(OR(H27="",AND(I27="",J27="")),"",H27*IF(I27&lt;&gt;"",I27,J27/'Budget du don'!$G$4))</f>
        <v/>
      </c>
      <c r="L27" s="18" t="str">
        <f aca="false">IF(K27="","",K27*'Budget du don'!$G$4)</f>
        <v/>
      </c>
      <c r="M27" s="17" t="str">
        <f aca="false">IF(OR(F27="",K27=""),"",F27-K27)</f>
        <v/>
      </c>
      <c r="N27" s="18" t="str">
        <f aca="false">IF(M27="","",M27*'Budget du don'!$G$4)</f>
        <v/>
      </c>
      <c r="O27" s="34" t="str">
        <f aca="false">IF(OR(D27="",D27=0,H27="",AND(I27="",J27="")),"",(IF(I27&lt;&gt;"",I27,J27/'Budget du don'!$G$4)-D27)/D27)</f>
        <v/>
      </c>
      <c r="P27" s="4"/>
    </row>
    <row r="28" customFormat="false" ht="15" hidden="false" customHeight="false" outlineLevel="0" collapsed="false">
      <c r="A28" s="31" t="str">
        <f aca="false">IF('Budget du don'!A28="","",'Budget du don'!A28)</f>
        <v/>
      </c>
      <c r="B28" s="32" t="str">
        <f aca="false">IF(OR('Budget du don'!A28="",'Budget du don'!B28=""),"",'Budget du don'!B28)</f>
        <v/>
      </c>
      <c r="C28" s="33" t="str">
        <f aca="false">IF(OR('Budget du don'!A28="",'Budget du don'!C28=""),"",'Budget du don'!C28)</f>
        <v/>
      </c>
      <c r="D28" s="17" t="str">
        <f aca="false">IF(OR('Budget du don'!A28="",'Budget du don'!F28=""),"",'Budget du don'!F28)</f>
        <v/>
      </c>
      <c r="E28" s="18" t="str">
        <f aca="false">IF(D28="","",D28*'Budget du don'!$G$4)</f>
        <v/>
      </c>
      <c r="F28" s="17" t="str">
        <f aca="false">IF('Budget du don'!H28="","",'Budget du don'!H28)</f>
        <v/>
      </c>
      <c r="G28" s="18" t="str">
        <f aca="false">IF(F28="","",F28*'Budget du don'!$G$4)</f>
        <v/>
      </c>
      <c r="H28" s="14"/>
      <c r="I28" s="15"/>
      <c r="J28" s="16"/>
      <c r="K28" s="19" t="str">
        <f aca="false">IF(OR(H28="",AND(I28="",J28="")),"",H28*IF(I28&lt;&gt;"",I28,J28/'Budget du don'!$G$4))</f>
        <v/>
      </c>
      <c r="L28" s="18" t="str">
        <f aca="false">IF(K28="","",K28*'Budget du don'!$G$4)</f>
        <v/>
      </c>
      <c r="M28" s="17" t="str">
        <f aca="false">IF(OR(F28="",K28=""),"",F28-K28)</f>
        <v/>
      </c>
      <c r="N28" s="18" t="str">
        <f aca="false">IF(M28="","",M28*'Budget du don'!$G$4)</f>
        <v/>
      </c>
      <c r="O28" s="34" t="str">
        <f aca="false">IF(OR(D28="",D28=0,H28="",AND(I28="",J28="")),"",(IF(I28&lt;&gt;"",I28,J28/'Budget du don'!$G$4)-D28)/D28)</f>
        <v/>
      </c>
      <c r="P28" s="4"/>
    </row>
    <row r="29" customFormat="false" ht="15" hidden="false" customHeight="false" outlineLevel="0" collapsed="false">
      <c r="A29" s="31" t="str">
        <f aca="false">IF('Budget du don'!A29="","",'Budget du don'!A29)</f>
        <v/>
      </c>
      <c r="B29" s="32" t="str">
        <f aca="false">IF(OR('Budget du don'!A29="",'Budget du don'!B29=""),"",'Budget du don'!B29)</f>
        <v/>
      </c>
      <c r="C29" s="33" t="str">
        <f aca="false">IF(OR('Budget du don'!A29="",'Budget du don'!C29=""),"",'Budget du don'!C29)</f>
        <v/>
      </c>
      <c r="D29" s="17" t="str">
        <f aca="false">IF(OR('Budget du don'!A29="",'Budget du don'!F29=""),"",'Budget du don'!F29)</f>
        <v/>
      </c>
      <c r="E29" s="18" t="str">
        <f aca="false">IF(D29="","",D29*'Budget du don'!$G$4)</f>
        <v/>
      </c>
      <c r="F29" s="17" t="str">
        <f aca="false">IF('Budget du don'!H29="","",'Budget du don'!H29)</f>
        <v/>
      </c>
      <c r="G29" s="18" t="str">
        <f aca="false">IF(F29="","",F29*'Budget du don'!$G$4)</f>
        <v/>
      </c>
      <c r="H29" s="14"/>
      <c r="I29" s="15"/>
      <c r="J29" s="16"/>
      <c r="K29" s="19" t="str">
        <f aca="false">IF(OR(H29="",AND(I29="",J29="")),"",H29*IF(I29&lt;&gt;"",I29,J29/'Budget du don'!$G$4))</f>
        <v/>
      </c>
      <c r="L29" s="18" t="str">
        <f aca="false">IF(K29="","",K29*'Budget du don'!$G$4)</f>
        <v/>
      </c>
      <c r="M29" s="17" t="str">
        <f aca="false">IF(OR(F29="",K29=""),"",F29-K29)</f>
        <v/>
      </c>
      <c r="N29" s="18" t="str">
        <f aca="false">IF(M29="","",M29*'Budget du don'!$G$4)</f>
        <v/>
      </c>
      <c r="O29" s="34" t="str">
        <f aca="false">IF(OR(D29="",D29=0,H29="",AND(I29="",J29="")),"",(IF(I29&lt;&gt;"",I29,J29/'Budget du don'!$G$4)-D29)/D29)</f>
        <v/>
      </c>
      <c r="P29" s="4"/>
    </row>
    <row r="30" customFormat="false" ht="15" hidden="false" customHeight="false" outlineLevel="0" collapsed="false">
      <c r="A30" s="31" t="str">
        <f aca="false">IF('Budget du don'!A30="","",'Budget du don'!A30)</f>
        <v/>
      </c>
      <c r="B30" s="32" t="str">
        <f aca="false">IF(OR('Budget du don'!A30="",'Budget du don'!B30=""),"",'Budget du don'!B30)</f>
        <v/>
      </c>
      <c r="C30" s="33" t="str">
        <f aca="false">IF(OR('Budget du don'!A30="",'Budget du don'!C30=""),"",'Budget du don'!C30)</f>
        <v/>
      </c>
      <c r="D30" s="17" t="str">
        <f aca="false">IF(OR('Budget du don'!A30="",'Budget du don'!F30=""),"",'Budget du don'!F30)</f>
        <v/>
      </c>
      <c r="E30" s="18" t="str">
        <f aca="false">IF(D30="","",D30*'Budget du don'!$G$4)</f>
        <v/>
      </c>
      <c r="F30" s="17" t="str">
        <f aca="false">IF('Budget du don'!H30="","",'Budget du don'!H30)</f>
        <v/>
      </c>
      <c r="G30" s="18" t="str">
        <f aca="false">IF(F30="","",F30*'Budget du don'!$G$4)</f>
        <v/>
      </c>
      <c r="H30" s="14"/>
      <c r="I30" s="15"/>
      <c r="J30" s="16"/>
      <c r="K30" s="19" t="str">
        <f aca="false">IF(OR(H30="",AND(I30="",J30="")),"",H30*IF(I30&lt;&gt;"",I30,J30/'Budget du don'!$G$4))</f>
        <v/>
      </c>
      <c r="L30" s="18" t="str">
        <f aca="false">IF(K30="","",K30*'Budget du don'!$G$4)</f>
        <v/>
      </c>
      <c r="M30" s="17" t="str">
        <f aca="false">IF(OR(F30="",K30=""),"",F30-K30)</f>
        <v/>
      </c>
      <c r="N30" s="18" t="str">
        <f aca="false">IF(M30="","",M30*'Budget du don'!$G$4)</f>
        <v/>
      </c>
      <c r="O30" s="34" t="str">
        <f aca="false">IF(OR(D30="",D30=0,H30="",AND(I30="",J30="")),"",(IF(I30&lt;&gt;"",I30,J30/'Budget du don'!$G$4)-D30)/D30)</f>
        <v/>
      </c>
      <c r="P30" s="4"/>
    </row>
    <row r="31" customFormat="false" ht="15" hidden="false" customHeight="false" outlineLevel="0" collapsed="false">
      <c r="A31" s="31" t="str">
        <f aca="false">IF('Budget du don'!A31="","",'Budget du don'!A31)</f>
        <v/>
      </c>
      <c r="B31" s="32" t="str">
        <f aca="false">IF(OR('Budget du don'!A31="",'Budget du don'!B31=""),"",'Budget du don'!B31)</f>
        <v/>
      </c>
      <c r="C31" s="33" t="str">
        <f aca="false">IF(OR('Budget du don'!A31="",'Budget du don'!C31=""),"",'Budget du don'!C31)</f>
        <v/>
      </c>
      <c r="D31" s="17" t="str">
        <f aca="false">IF(OR('Budget du don'!A31="",'Budget du don'!F31=""),"",'Budget du don'!F31)</f>
        <v/>
      </c>
      <c r="E31" s="18" t="str">
        <f aca="false">IF(D31="","",D31*'Budget du don'!$G$4)</f>
        <v/>
      </c>
      <c r="F31" s="17" t="str">
        <f aca="false">IF('Budget du don'!H31="","",'Budget du don'!H31)</f>
        <v/>
      </c>
      <c r="G31" s="18" t="str">
        <f aca="false">IF(F31="","",F31*'Budget du don'!$G$4)</f>
        <v/>
      </c>
      <c r="H31" s="14"/>
      <c r="I31" s="15"/>
      <c r="J31" s="16"/>
      <c r="K31" s="19" t="str">
        <f aca="false">IF(OR(H31="",AND(I31="",J31="")),"",H31*IF(I31&lt;&gt;"",I31,J31/'Budget du don'!$G$4))</f>
        <v/>
      </c>
      <c r="L31" s="18" t="str">
        <f aca="false">IF(K31="","",K31*'Budget du don'!$G$4)</f>
        <v/>
      </c>
      <c r="M31" s="17" t="str">
        <f aca="false">IF(OR(F31="",K31=""),"",F31-K31)</f>
        <v/>
      </c>
      <c r="N31" s="18" t="str">
        <f aca="false">IF(M31="","",M31*'Budget du don'!$G$4)</f>
        <v/>
      </c>
      <c r="O31" s="34" t="str">
        <f aca="false">IF(OR(D31="",D31=0,H31="",AND(I31="",J31="")),"",(IF(I31&lt;&gt;"",I31,J31/'Budget du don'!$G$4)-D31)/D31)</f>
        <v/>
      </c>
      <c r="P31" s="4"/>
    </row>
    <row r="32" customFormat="false" ht="15" hidden="false" customHeight="false" outlineLevel="0" collapsed="false">
      <c r="A32" s="31" t="str">
        <f aca="false">IF('Budget du don'!A32="","",'Budget du don'!A32)</f>
        <v/>
      </c>
      <c r="B32" s="32" t="str">
        <f aca="false">IF(OR('Budget du don'!A32="",'Budget du don'!B32=""),"",'Budget du don'!B32)</f>
        <v/>
      </c>
      <c r="C32" s="33" t="str">
        <f aca="false">IF(OR('Budget du don'!A32="",'Budget du don'!C32=""),"",'Budget du don'!C32)</f>
        <v/>
      </c>
      <c r="D32" s="17" t="str">
        <f aca="false">IF(OR('Budget du don'!A32="",'Budget du don'!F32=""),"",'Budget du don'!F32)</f>
        <v/>
      </c>
      <c r="E32" s="18" t="str">
        <f aca="false">IF(D32="","",D32*'Budget du don'!$G$4)</f>
        <v/>
      </c>
      <c r="F32" s="17" t="str">
        <f aca="false">IF('Budget du don'!H32="","",'Budget du don'!H32)</f>
        <v/>
      </c>
      <c r="G32" s="18" t="str">
        <f aca="false">IF(F32="","",F32*'Budget du don'!$G$4)</f>
        <v/>
      </c>
      <c r="H32" s="14"/>
      <c r="I32" s="15"/>
      <c r="J32" s="16"/>
      <c r="K32" s="19" t="str">
        <f aca="false">IF(OR(H32="",AND(I32="",J32="")),"",H32*IF(I32&lt;&gt;"",I32,J32/'Budget du don'!$G$4))</f>
        <v/>
      </c>
      <c r="L32" s="18" t="str">
        <f aca="false">IF(K32="","",K32*'Budget du don'!$G$4)</f>
        <v/>
      </c>
      <c r="M32" s="17" t="str">
        <f aca="false">IF(OR(F32="",K32=""),"",F32-K32)</f>
        <v/>
      </c>
      <c r="N32" s="18" t="str">
        <f aca="false">IF(M32="","",M32*'Budget du don'!$G$4)</f>
        <v/>
      </c>
      <c r="O32" s="34" t="str">
        <f aca="false">IF(OR(D32="",D32=0,H32="",AND(I32="",J32="")),"",(IF(I32&lt;&gt;"",I32,J32/'Budget du don'!$G$4)-D32)/D32)</f>
        <v/>
      </c>
      <c r="P32" s="4"/>
    </row>
    <row r="33" customFormat="false" ht="15" hidden="false" customHeight="false" outlineLevel="0" collapsed="false">
      <c r="A33" s="31" t="str">
        <f aca="false">IF('Budget du don'!A33="","",'Budget du don'!A33)</f>
        <v/>
      </c>
      <c r="B33" s="32" t="str">
        <f aca="false">IF(OR('Budget du don'!A33="",'Budget du don'!B33=""),"",'Budget du don'!B33)</f>
        <v/>
      </c>
      <c r="C33" s="33" t="str">
        <f aca="false">IF(OR('Budget du don'!A33="",'Budget du don'!C33=""),"",'Budget du don'!C33)</f>
        <v/>
      </c>
      <c r="D33" s="17" t="str">
        <f aca="false">IF(OR('Budget du don'!A33="",'Budget du don'!F33=""),"",'Budget du don'!F33)</f>
        <v/>
      </c>
      <c r="E33" s="18" t="str">
        <f aca="false">IF(D33="","",D33*'Budget du don'!$G$4)</f>
        <v/>
      </c>
      <c r="F33" s="17" t="str">
        <f aca="false">IF('Budget du don'!H33="","",'Budget du don'!H33)</f>
        <v/>
      </c>
      <c r="G33" s="18" t="str">
        <f aca="false">IF(F33="","",F33*'Budget du don'!$G$4)</f>
        <v/>
      </c>
      <c r="H33" s="14"/>
      <c r="I33" s="15"/>
      <c r="J33" s="16"/>
      <c r="K33" s="19" t="str">
        <f aca="false">IF(OR(H33="",AND(I33="",J33="")),"",H33*IF(I33&lt;&gt;"",I33,J33/'Budget du don'!$G$4))</f>
        <v/>
      </c>
      <c r="L33" s="18" t="str">
        <f aca="false">IF(K33="","",K33*'Budget du don'!$G$4)</f>
        <v/>
      </c>
      <c r="M33" s="17" t="str">
        <f aca="false">IF(OR(F33="",K33=""),"",F33-K33)</f>
        <v/>
      </c>
      <c r="N33" s="18" t="str">
        <f aca="false">IF(M33="","",M33*'Budget du don'!$G$4)</f>
        <v/>
      </c>
      <c r="O33" s="34" t="str">
        <f aca="false">IF(OR(D33="",D33=0,H33="",AND(I33="",J33="")),"",(IF(I33&lt;&gt;"",I33,J33/'Budget du don'!$G$4)-D33)/D33)</f>
        <v/>
      </c>
      <c r="P33" s="4"/>
    </row>
    <row r="34" customFormat="false" ht="15" hidden="false" customHeight="false" outlineLevel="0" collapsed="false">
      <c r="A34" s="31" t="str">
        <f aca="false">IF('Budget du don'!A34="","",'Budget du don'!A34)</f>
        <v/>
      </c>
      <c r="B34" s="32" t="str">
        <f aca="false">IF(OR('Budget du don'!A34="",'Budget du don'!B34=""),"",'Budget du don'!B34)</f>
        <v/>
      </c>
      <c r="C34" s="33" t="str">
        <f aca="false">IF(OR('Budget du don'!A34="",'Budget du don'!C34=""),"",'Budget du don'!C34)</f>
        <v/>
      </c>
      <c r="D34" s="17" t="str">
        <f aca="false">IF(OR('Budget du don'!A34="",'Budget du don'!F34=""),"",'Budget du don'!F34)</f>
        <v/>
      </c>
      <c r="E34" s="18" t="str">
        <f aca="false">IF(D34="","",D34*'Budget du don'!$G$4)</f>
        <v/>
      </c>
      <c r="F34" s="17" t="str">
        <f aca="false">IF('Budget du don'!H34="","",'Budget du don'!H34)</f>
        <v/>
      </c>
      <c r="G34" s="18" t="str">
        <f aca="false">IF(F34="","",F34*'Budget du don'!$G$4)</f>
        <v/>
      </c>
      <c r="H34" s="14"/>
      <c r="I34" s="15"/>
      <c r="J34" s="16"/>
      <c r="K34" s="19" t="str">
        <f aca="false">IF(OR(H34="",AND(I34="",J34="")),"",H34*IF(I34&lt;&gt;"",I34,J34/'Budget du don'!$G$4))</f>
        <v/>
      </c>
      <c r="L34" s="18" t="str">
        <f aca="false">IF(K34="","",K34*'Budget du don'!$G$4)</f>
        <v/>
      </c>
      <c r="M34" s="17" t="str">
        <f aca="false">IF(OR(F34="",K34=""),"",F34-K34)</f>
        <v/>
      </c>
      <c r="N34" s="18" t="str">
        <f aca="false">IF(M34="","",M34*'Budget du don'!$G$4)</f>
        <v/>
      </c>
      <c r="O34" s="34" t="str">
        <f aca="false">IF(OR(D34="",D34=0,H34="",AND(I34="",J34="")),"",(IF(I34&lt;&gt;"",I34,J34/'Budget du don'!$G$4)-D34)/D34)</f>
        <v/>
      </c>
      <c r="P34" s="4"/>
    </row>
    <row r="35" customFormat="false" ht="15" hidden="false" customHeight="false" outlineLevel="0" collapsed="false">
      <c r="A35" s="31" t="str">
        <f aca="false">IF('Budget du don'!A35="","",'Budget du don'!A35)</f>
        <v/>
      </c>
      <c r="B35" s="32" t="str">
        <f aca="false">IF(OR('Budget du don'!A35="",'Budget du don'!B35=""),"",'Budget du don'!B35)</f>
        <v/>
      </c>
      <c r="C35" s="33" t="str">
        <f aca="false">IF(OR('Budget du don'!A35="",'Budget du don'!C35=""),"",'Budget du don'!C35)</f>
        <v/>
      </c>
      <c r="D35" s="17" t="str">
        <f aca="false">IF(OR('Budget du don'!A35="",'Budget du don'!F35=""),"",'Budget du don'!F35)</f>
        <v/>
      </c>
      <c r="E35" s="18" t="str">
        <f aca="false">IF(D35="","",D35*'Budget du don'!$G$4)</f>
        <v/>
      </c>
      <c r="F35" s="17" t="str">
        <f aca="false">IF('Budget du don'!H35="","",'Budget du don'!H35)</f>
        <v/>
      </c>
      <c r="G35" s="18" t="str">
        <f aca="false">IF(F35="","",F35*'Budget du don'!$G$4)</f>
        <v/>
      </c>
      <c r="H35" s="14"/>
      <c r="I35" s="15"/>
      <c r="J35" s="16"/>
      <c r="K35" s="19" t="str">
        <f aca="false">IF(OR(H35="",AND(I35="",J35="")),"",H35*IF(I35&lt;&gt;"",I35,J35/'Budget du don'!$G$4))</f>
        <v/>
      </c>
      <c r="L35" s="18" t="str">
        <f aca="false">IF(K35="","",K35*'Budget du don'!$G$4)</f>
        <v/>
      </c>
      <c r="M35" s="17" t="str">
        <f aca="false">IF(OR(F35="",K35=""),"",F35-K35)</f>
        <v/>
      </c>
      <c r="N35" s="18" t="str">
        <f aca="false">IF(M35="","",M35*'Budget du don'!$G$4)</f>
        <v/>
      </c>
      <c r="O35" s="34" t="str">
        <f aca="false">IF(OR(D35="",D35=0,H35="",AND(I35="",J35="")),"",(IF(I35&lt;&gt;"",I35,J35/'Budget du don'!$G$4)-D35)/D35)</f>
        <v/>
      </c>
      <c r="P35" s="4"/>
    </row>
    <row r="36" customFormat="false" ht="15" hidden="false" customHeight="false" outlineLevel="0" collapsed="false">
      <c r="A36" s="31" t="str">
        <f aca="false">IF('Budget du don'!A36="","",'Budget du don'!A36)</f>
        <v/>
      </c>
      <c r="B36" s="32" t="str">
        <f aca="false">IF(OR('Budget du don'!A36="",'Budget du don'!B36=""),"",'Budget du don'!B36)</f>
        <v/>
      </c>
      <c r="C36" s="33" t="str">
        <f aca="false">IF(OR('Budget du don'!A36="",'Budget du don'!C36=""),"",'Budget du don'!C36)</f>
        <v/>
      </c>
      <c r="D36" s="17" t="str">
        <f aca="false">IF(OR('Budget du don'!A36="",'Budget du don'!F36=""),"",'Budget du don'!F36)</f>
        <v/>
      </c>
      <c r="E36" s="18" t="str">
        <f aca="false">IF(D36="","",D36*'Budget du don'!$G$4)</f>
        <v/>
      </c>
      <c r="F36" s="17" t="str">
        <f aca="false">IF('Budget du don'!H36="","",'Budget du don'!H36)</f>
        <v/>
      </c>
      <c r="G36" s="18" t="str">
        <f aca="false">IF(F36="","",F36*'Budget du don'!$G$4)</f>
        <v/>
      </c>
      <c r="H36" s="14"/>
      <c r="I36" s="15"/>
      <c r="J36" s="16"/>
      <c r="K36" s="19" t="str">
        <f aca="false">IF(OR(H36="",AND(I36="",J36="")),"",H36*IF(I36&lt;&gt;"",I36,J36/'Budget du don'!$G$4))</f>
        <v/>
      </c>
      <c r="L36" s="18" t="str">
        <f aca="false">IF(K36="","",K36*'Budget du don'!$G$4)</f>
        <v/>
      </c>
      <c r="M36" s="17" t="str">
        <f aca="false">IF(OR(F36="",K36=""),"",F36-K36)</f>
        <v/>
      </c>
      <c r="N36" s="18" t="str">
        <f aca="false">IF(M36="","",M36*'Budget du don'!$G$4)</f>
        <v/>
      </c>
      <c r="O36" s="34" t="str">
        <f aca="false">IF(OR(D36="",D36=0,H36="",AND(I36="",J36="")),"",(IF(I36&lt;&gt;"",I36,J36/'Budget du don'!$G$4)-D36)/D36)</f>
        <v/>
      </c>
      <c r="P36" s="4"/>
    </row>
    <row r="37" customFormat="false" ht="15" hidden="false" customHeight="false" outlineLevel="0" collapsed="false">
      <c r="A37" s="31" t="str">
        <f aca="false">IF('Budget du don'!A37="","",'Budget du don'!A37)</f>
        <v/>
      </c>
      <c r="B37" s="32" t="str">
        <f aca="false">IF(OR('Budget du don'!A37="",'Budget du don'!B37=""),"",'Budget du don'!B37)</f>
        <v/>
      </c>
      <c r="C37" s="33" t="str">
        <f aca="false">IF(OR('Budget du don'!A37="",'Budget du don'!C37=""),"",'Budget du don'!C37)</f>
        <v/>
      </c>
      <c r="D37" s="17" t="str">
        <f aca="false">IF(OR('Budget du don'!A37="",'Budget du don'!F37=""),"",'Budget du don'!F37)</f>
        <v/>
      </c>
      <c r="E37" s="18" t="str">
        <f aca="false">IF(D37="","",D37*'Budget du don'!$G$4)</f>
        <v/>
      </c>
      <c r="F37" s="17" t="str">
        <f aca="false">IF('Budget du don'!H37="","",'Budget du don'!H37)</f>
        <v/>
      </c>
      <c r="G37" s="18" t="str">
        <f aca="false">IF(F37="","",F37*'Budget du don'!$G$4)</f>
        <v/>
      </c>
      <c r="H37" s="14"/>
      <c r="I37" s="15"/>
      <c r="J37" s="16"/>
      <c r="K37" s="19" t="str">
        <f aca="false">IF(OR(H37="",AND(I37="",J37="")),"",H37*IF(I37&lt;&gt;"",I37,J37/'Budget du don'!$G$4))</f>
        <v/>
      </c>
      <c r="L37" s="18" t="str">
        <f aca="false">IF(K37="","",K37*'Budget du don'!$G$4)</f>
        <v/>
      </c>
      <c r="M37" s="17" t="str">
        <f aca="false">IF(OR(F37="",K37=""),"",F37-K37)</f>
        <v/>
      </c>
      <c r="N37" s="18" t="str">
        <f aca="false">IF(M37="","",M37*'Budget du don'!$G$4)</f>
        <v/>
      </c>
      <c r="O37" s="34" t="str">
        <f aca="false">IF(OR(D37="",D37=0,H37="",AND(I37="",J37="")),"",(IF(I37&lt;&gt;"",I37,J37/'Budget du don'!$G$4)-D37)/D37)</f>
        <v/>
      </c>
      <c r="P37" s="4"/>
    </row>
    <row r="38" customFormat="false" ht="15" hidden="false" customHeight="false" outlineLevel="0" collapsed="false">
      <c r="A38" s="31" t="str">
        <f aca="false">IF('Budget du don'!A38="","",'Budget du don'!A38)</f>
        <v/>
      </c>
      <c r="B38" s="32" t="str">
        <f aca="false">IF(OR('Budget du don'!A38="",'Budget du don'!B38=""),"",'Budget du don'!B38)</f>
        <v/>
      </c>
      <c r="C38" s="33" t="str">
        <f aca="false">IF(OR('Budget du don'!A38="",'Budget du don'!C38=""),"",'Budget du don'!C38)</f>
        <v/>
      </c>
      <c r="D38" s="17" t="str">
        <f aca="false">IF(OR('Budget du don'!A38="",'Budget du don'!F38=""),"",'Budget du don'!F38)</f>
        <v/>
      </c>
      <c r="E38" s="18" t="str">
        <f aca="false">IF(D38="","",D38*'Budget du don'!$G$4)</f>
        <v/>
      </c>
      <c r="F38" s="17" t="str">
        <f aca="false">IF('Budget du don'!H38="","",'Budget du don'!H38)</f>
        <v/>
      </c>
      <c r="G38" s="18" t="str">
        <f aca="false">IF(F38="","",F38*'Budget du don'!$G$4)</f>
        <v/>
      </c>
      <c r="H38" s="14"/>
      <c r="I38" s="15"/>
      <c r="J38" s="16"/>
      <c r="K38" s="19" t="str">
        <f aca="false">IF(OR(H38="",AND(I38="",J38="")),"",H38*IF(I38&lt;&gt;"",I38,J38/'Budget du don'!$G$4))</f>
        <v/>
      </c>
      <c r="L38" s="18" t="str">
        <f aca="false">IF(K38="","",K38*'Budget du don'!$G$4)</f>
        <v/>
      </c>
      <c r="M38" s="17" t="str">
        <f aca="false">IF(OR(F38="",K38=""),"",F38-K38)</f>
        <v/>
      </c>
      <c r="N38" s="18" t="str">
        <f aca="false">IF(M38="","",M38*'Budget du don'!$G$4)</f>
        <v/>
      </c>
      <c r="O38" s="34" t="str">
        <f aca="false">IF(OR(D38="",D38=0,H38="",AND(I38="",J38="")),"",(IF(I38&lt;&gt;"",I38,J38/'Budget du don'!$G$4)-D38)/D38)</f>
        <v/>
      </c>
      <c r="P38" s="4"/>
    </row>
    <row r="39" customFormat="false" ht="15" hidden="false" customHeight="false" outlineLevel="0" collapsed="false">
      <c r="A39" s="31" t="str">
        <f aca="false">IF('Budget du don'!A39="","",'Budget du don'!A39)</f>
        <v/>
      </c>
      <c r="B39" s="32" t="str">
        <f aca="false">IF(OR('Budget du don'!A39="",'Budget du don'!B39=""),"",'Budget du don'!B39)</f>
        <v/>
      </c>
      <c r="C39" s="33" t="str">
        <f aca="false">IF(OR('Budget du don'!A39="",'Budget du don'!C39=""),"",'Budget du don'!C39)</f>
        <v/>
      </c>
      <c r="D39" s="17" t="str">
        <f aca="false">IF(OR('Budget du don'!A39="",'Budget du don'!F39=""),"",'Budget du don'!F39)</f>
        <v/>
      </c>
      <c r="E39" s="18" t="str">
        <f aca="false">IF(D39="","",D39*'Budget du don'!$G$4)</f>
        <v/>
      </c>
      <c r="F39" s="17" t="str">
        <f aca="false">IF('Budget du don'!H39="","",'Budget du don'!H39)</f>
        <v/>
      </c>
      <c r="G39" s="18" t="str">
        <f aca="false">IF(F39="","",F39*'Budget du don'!$G$4)</f>
        <v/>
      </c>
      <c r="H39" s="14"/>
      <c r="I39" s="15"/>
      <c r="J39" s="16"/>
      <c r="K39" s="19" t="str">
        <f aca="false">IF(OR(H39="",AND(I39="",J39="")),"",H39*IF(I39&lt;&gt;"",I39,J39/'Budget du don'!$G$4))</f>
        <v/>
      </c>
      <c r="L39" s="18" t="str">
        <f aca="false">IF(K39="","",K39*'Budget du don'!$G$4)</f>
        <v/>
      </c>
      <c r="M39" s="17" t="str">
        <f aca="false">IF(OR(F39="",K39=""),"",F39-K39)</f>
        <v/>
      </c>
      <c r="N39" s="18" t="str">
        <f aca="false">IF(M39="","",M39*'Budget du don'!$G$4)</f>
        <v/>
      </c>
      <c r="O39" s="34" t="str">
        <f aca="false">IF(OR(D39="",D39=0,H39="",AND(I39="",J39="")),"",(IF(I39&lt;&gt;"",I39,J39/'Budget du don'!$G$4)-D39)/D39)</f>
        <v/>
      </c>
      <c r="P39" s="4"/>
    </row>
    <row r="40" customFormat="false" ht="15" hidden="false" customHeight="false" outlineLevel="0" collapsed="false">
      <c r="A40" s="31" t="str">
        <f aca="false">IF('Budget du don'!A40="","",'Budget du don'!A40)</f>
        <v/>
      </c>
      <c r="B40" s="32" t="str">
        <f aca="false">IF(OR('Budget du don'!A40="",'Budget du don'!B40=""),"",'Budget du don'!B40)</f>
        <v/>
      </c>
      <c r="C40" s="33" t="str">
        <f aca="false">IF(OR('Budget du don'!A40="",'Budget du don'!C40=""),"",'Budget du don'!C40)</f>
        <v/>
      </c>
      <c r="D40" s="17" t="str">
        <f aca="false">IF(OR('Budget du don'!A40="",'Budget du don'!F40=""),"",'Budget du don'!F40)</f>
        <v/>
      </c>
      <c r="E40" s="18" t="str">
        <f aca="false">IF(D40="","",D40*'Budget du don'!$G$4)</f>
        <v/>
      </c>
      <c r="F40" s="17" t="str">
        <f aca="false">IF('Budget du don'!H40="","",'Budget du don'!H40)</f>
        <v/>
      </c>
      <c r="G40" s="18" t="str">
        <f aca="false">IF(F40="","",F40*'Budget du don'!$G$4)</f>
        <v/>
      </c>
      <c r="H40" s="14"/>
      <c r="I40" s="15"/>
      <c r="J40" s="16"/>
      <c r="K40" s="19" t="str">
        <f aca="false">IF(OR(H40="",AND(I40="",J40="")),"",H40*IF(I40&lt;&gt;"",I40,J40/'Budget du don'!$G$4))</f>
        <v/>
      </c>
      <c r="L40" s="18" t="str">
        <f aca="false">IF(K40="","",K40*'Budget du don'!$G$4)</f>
        <v/>
      </c>
      <c r="M40" s="17" t="str">
        <f aca="false">IF(OR(F40="",K40=""),"",F40-K40)</f>
        <v/>
      </c>
      <c r="N40" s="18" t="str">
        <f aca="false">IF(M40="","",M40*'Budget du don'!$G$4)</f>
        <v/>
      </c>
      <c r="O40" s="34" t="str">
        <f aca="false">IF(OR(D40="",D40=0,H40="",AND(I40="",J40="")),"",(IF(I40&lt;&gt;"",I40,J40/'Budget du don'!$G$4)-D40)/D40)</f>
        <v/>
      </c>
      <c r="P40" s="4"/>
    </row>
    <row r="41" customFormat="false" ht="15" hidden="false" customHeight="false" outlineLevel="0" collapsed="false">
      <c r="A41" s="31" t="str">
        <f aca="false">IF('Budget du don'!A41="","",'Budget du don'!A41)</f>
        <v/>
      </c>
      <c r="B41" s="32" t="str">
        <f aca="false">IF(OR('Budget du don'!A41="",'Budget du don'!B41=""),"",'Budget du don'!B41)</f>
        <v/>
      </c>
      <c r="C41" s="33" t="str">
        <f aca="false">IF(OR('Budget du don'!A41="",'Budget du don'!C41=""),"",'Budget du don'!C41)</f>
        <v/>
      </c>
      <c r="D41" s="17" t="str">
        <f aca="false">IF(OR('Budget du don'!A41="",'Budget du don'!F41=""),"",'Budget du don'!F41)</f>
        <v/>
      </c>
      <c r="E41" s="18" t="str">
        <f aca="false">IF(D41="","",D41*'Budget du don'!$G$4)</f>
        <v/>
      </c>
      <c r="F41" s="17" t="str">
        <f aca="false">IF('Budget du don'!H41="","",'Budget du don'!H41)</f>
        <v/>
      </c>
      <c r="G41" s="18" t="str">
        <f aca="false">IF(F41="","",F41*'Budget du don'!$G$4)</f>
        <v/>
      </c>
      <c r="H41" s="14"/>
      <c r="I41" s="15"/>
      <c r="J41" s="16"/>
      <c r="K41" s="19" t="str">
        <f aca="false">IF(OR(H41="",AND(I41="",J41="")),"",H41*IF(I41&lt;&gt;"",I41,J41/'Budget du don'!$G$4))</f>
        <v/>
      </c>
      <c r="L41" s="18" t="str">
        <f aca="false">IF(K41="","",K41*'Budget du don'!$G$4)</f>
        <v/>
      </c>
      <c r="M41" s="17" t="str">
        <f aca="false">IF(OR(F41="",K41=""),"",F41-K41)</f>
        <v/>
      </c>
      <c r="N41" s="18" t="str">
        <f aca="false">IF(M41="","",M41*'Budget du don'!$G$4)</f>
        <v/>
      </c>
      <c r="O41" s="34" t="str">
        <f aca="false">IF(OR(D41="",D41=0,H41="",AND(I41="",J41="")),"",(IF(I41&lt;&gt;"",I41,J41/'Budget du don'!$G$4)-D41)/D41)</f>
        <v/>
      </c>
      <c r="P41" s="4"/>
    </row>
    <row r="42" customFormat="false" ht="15" hidden="false" customHeight="false" outlineLevel="0" collapsed="false">
      <c r="A42" s="31" t="str">
        <f aca="false">IF('Budget du don'!A42="","",'Budget du don'!A42)</f>
        <v/>
      </c>
      <c r="B42" s="32" t="str">
        <f aca="false">IF(OR('Budget du don'!A42="",'Budget du don'!B42=""),"",'Budget du don'!B42)</f>
        <v/>
      </c>
      <c r="C42" s="33" t="str">
        <f aca="false">IF(OR('Budget du don'!A42="",'Budget du don'!C42=""),"",'Budget du don'!C42)</f>
        <v/>
      </c>
      <c r="D42" s="17" t="str">
        <f aca="false">IF(OR('Budget du don'!A42="",'Budget du don'!F42=""),"",'Budget du don'!F42)</f>
        <v/>
      </c>
      <c r="E42" s="18" t="str">
        <f aca="false">IF(D42="","",D42*'Budget du don'!$G$4)</f>
        <v/>
      </c>
      <c r="F42" s="17" t="str">
        <f aca="false">IF('Budget du don'!H42="","",'Budget du don'!H42)</f>
        <v/>
      </c>
      <c r="G42" s="18" t="str">
        <f aca="false">IF(F42="","",F42*'Budget du don'!$G$4)</f>
        <v/>
      </c>
      <c r="H42" s="14"/>
      <c r="I42" s="15"/>
      <c r="J42" s="16"/>
      <c r="K42" s="19" t="str">
        <f aca="false">IF(OR(H42="",AND(I42="",J42="")),"",H42*IF(I42&lt;&gt;"",I42,J42/'Budget du don'!$G$4))</f>
        <v/>
      </c>
      <c r="L42" s="18" t="str">
        <f aca="false">IF(K42="","",K42*'Budget du don'!$G$4)</f>
        <v/>
      </c>
      <c r="M42" s="17" t="str">
        <f aca="false">IF(OR(F42="",K42=""),"",F42-K42)</f>
        <v/>
      </c>
      <c r="N42" s="18" t="str">
        <f aca="false">IF(M42="","",M42*'Budget du don'!$G$4)</f>
        <v/>
      </c>
      <c r="O42" s="34" t="str">
        <f aca="false">IF(OR(D42="",D42=0,H42="",AND(I42="",J42="")),"",(IF(I42&lt;&gt;"",I42,J42/'Budget du don'!$G$4)-D42)/D42)</f>
        <v/>
      </c>
      <c r="P42" s="4"/>
    </row>
    <row r="43" customFormat="false" ht="15" hidden="false" customHeight="false" outlineLevel="0" collapsed="false">
      <c r="A43" s="31" t="str">
        <f aca="false">IF('Budget du don'!A43="","",'Budget du don'!A43)</f>
        <v/>
      </c>
      <c r="B43" s="32" t="str">
        <f aca="false">IF(OR('Budget du don'!A43="",'Budget du don'!B43=""),"",'Budget du don'!B43)</f>
        <v/>
      </c>
      <c r="C43" s="33" t="str">
        <f aca="false">IF(OR('Budget du don'!A43="",'Budget du don'!C43=""),"",'Budget du don'!C43)</f>
        <v/>
      </c>
      <c r="D43" s="17" t="str">
        <f aca="false">IF(OR('Budget du don'!A43="",'Budget du don'!F43=""),"",'Budget du don'!F43)</f>
        <v/>
      </c>
      <c r="E43" s="18" t="str">
        <f aca="false">IF(D43="","",D43*'Budget du don'!$G$4)</f>
        <v/>
      </c>
      <c r="F43" s="17" t="str">
        <f aca="false">IF('Budget du don'!H43="","",'Budget du don'!H43)</f>
        <v/>
      </c>
      <c r="G43" s="18" t="str">
        <f aca="false">IF(F43="","",F43*'Budget du don'!$G$4)</f>
        <v/>
      </c>
      <c r="H43" s="14"/>
      <c r="I43" s="15"/>
      <c r="J43" s="16"/>
      <c r="K43" s="19" t="str">
        <f aca="false">IF(OR(H43="",AND(I43="",J43="")),"",H43*IF(I43&lt;&gt;"",I43,J43/'Budget du don'!$G$4))</f>
        <v/>
      </c>
      <c r="L43" s="18" t="str">
        <f aca="false">IF(K43="","",K43*'Budget du don'!$G$4)</f>
        <v/>
      </c>
      <c r="M43" s="17" t="str">
        <f aca="false">IF(OR(F43="",K43=""),"",F43-K43)</f>
        <v/>
      </c>
      <c r="N43" s="18" t="str">
        <f aca="false">IF(M43="","",M43*'Budget du don'!$G$4)</f>
        <v/>
      </c>
      <c r="O43" s="34" t="str">
        <f aca="false">IF(OR(D43="",D43=0,H43="",AND(I43="",J43="")),"",(IF(I43&lt;&gt;"",I43,J43/'Budget du don'!$G$4)-D43)/D43)</f>
        <v/>
      </c>
      <c r="P43" s="4"/>
    </row>
    <row r="44" customFormat="false" ht="15" hidden="false" customHeight="false" outlineLevel="0" collapsed="false">
      <c r="A44" s="31" t="str">
        <f aca="false">IF('Budget du don'!A44="","",'Budget du don'!A44)</f>
        <v/>
      </c>
      <c r="B44" s="32" t="str">
        <f aca="false">IF(OR('Budget du don'!A44="",'Budget du don'!B44=""),"",'Budget du don'!B44)</f>
        <v/>
      </c>
      <c r="C44" s="33" t="str">
        <f aca="false">IF(OR('Budget du don'!A44="",'Budget du don'!C44=""),"",'Budget du don'!C44)</f>
        <v/>
      </c>
      <c r="D44" s="17" t="str">
        <f aca="false">IF(OR('Budget du don'!A44="",'Budget du don'!F44=""),"",'Budget du don'!F44)</f>
        <v/>
      </c>
      <c r="E44" s="18" t="str">
        <f aca="false">IF(D44="","",D44*'Budget du don'!$G$4)</f>
        <v/>
      </c>
      <c r="F44" s="17" t="str">
        <f aca="false">IF('Budget du don'!H44="","",'Budget du don'!H44)</f>
        <v/>
      </c>
      <c r="G44" s="18" t="str">
        <f aca="false">IF(F44="","",F44*'Budget du don'!$G$4)</f>
        <v/>
      </c>
      <c r="H44" s="14"/>
      <c r="I44" s="15"/>
      <c r="J44" s="16"/>
      <c r="K44" s="19" t="str">
        <f aca="false">IF(OR(H44="",AND(I44="",J44="")),"",H44*IF(I44&lt;&gt;"",I44,J44/'Budget du don'!$G$4))</f>
        <v/>
      </c>
      <c r="L44" s="18" t="str">
        <f aca="false">IF(K44="","",K44*'Budget du don'!$G$4)</f>
        <v/>
      </c>
      <c r="M44" s="17" t="str">
        <f aca="false">IF(OR(F44="",K44=""),"",F44-K44)</f>
        <v/>
      </c>
      <c r="N44" s="18" t="str">
        <f aca="false">IF(M44="","",M44*'Budget du don'!$G$4)</f>
        <v/>
      </c>
      <c r="O44" s="34" t="str">
        <f aca="false">IF(OR(D44="",D44=0,H44="",AND(I44="",J44="")),"",(IF(I44&lt;&gt;"",I44,J44/'Budget du don'!$G$4)-D44)/D44)</f>
        <v/>
      </c>
      <c r="P44" s="4"/>
    </row>
    <row r="45" customFormat="false" ht="15" hidden="false" customHeight="false" outlineLevel="0" collapsed="false">
      <c r="A45" s="31" t="str">
        <f aca="false">IF('Budget du don'!A45="","",'Budget du don'!A45)</f>
        <v/>
      </c>
      <c r="B45" s="32" t="str">
        <f aca="false">IF(OR('Budget du don'!A45="",'Budget du don'!B45=""),"",'Budget du don'!B45)</f>
        <v/>
      </c>
      <c r="C45" s="33" t="str">
        <f aca="false">IF(OR('Budget du don'!A45="",'Budget du don'!C45=""),"",'Budget du don'!C45)</f>
        <v/>
      </c>
      <c r="D45" s="17" t="str">
        <f aca="false">IF(OR('Budget du don'!A45="",'Budget du don'!F45=""),"",'Budget du don'!F45)</f>
        <v/>
      </c>
      <c r="E45" s="18" t="str">
        <f aca="false">IF(D45="","",D45*'Budget du don'!$G$4)</f>
        <v/>
      </c>
      <c r="F45" s="17" t="str">
        <f aca="false">IF('Budget du don'!H45="","",'Budget du don'!H45)</f>
        <v/>
      </c>
      <c r="G45" s="18" t="str">
        <f aca="false">IF(F45="","",F45*'Budget du don'!$G$4)</f>
        <v/>
      </c>
      <c r="H45" s="14"/>
      <c r="I45" s="15"/>
      <c r="J45" s="16"/>
      <c r="K45" s="19" t="str">
        <f aca="false">IF(OR(H45="",AND(I45="",J45="")),"",H45*IF(I45&lt;&gt;"",I45,J45/'Budget du don'!$G$4))</f>
        <v/>
      </c>
      <c r="L45" s="18" t="str">
        <f aca="false">IF(K45="","",K45*'Budget du don'!$G$4)</f>
        <v/>
      </c>
      <c r="M45" s="17" t="str">
        <f aca="false">IF(OR(F45="",K45=""),"",F45-K45)</f>
        <v/>
      </c>
      <c r="N45" s="18" t="str">
        <f aca="false">IF(M45="","",M45*'Budget du don'!$G$4)</f>
        <v/>
      </c>
      <c r="O45" s="34" t="str">
        <f aca="false">IF(OR(D45="",D45=0,H45="",AND(I45="",J45="")),"",(IF(I45&lt;&gt;"",I45,J45/'Budget du don'!$G$4)-D45)/D45)</f>
        <v/>
      </c>
      <c r="P45" s="4"/>
    </row>
    <row r="46" customFormat="false" ht="15" hidden="false" customHeight="false" outlineLevel="0" collapsed="false">
      <c r="A46" s="31" t="str">
        <f aca="false">IF('Budget du don'!A46="","",'Budget du don'!A46)</f>
        <v/>
      </c>
      <c r="B46" s="32" t="str">
        <f aca="false">IF(OR('Budget du don'!A46="",'Budget du don'!B46=""),"",'Budget du don'!B46)</f>
        <v/>
      </c>
      <c r="C46" s="33" t="str">
        <f aca="false">IF(OR('Budget du don'!A46="",'Budget du don'!C46=""),"",'Budget du don'!C46)</f>
        <v/>
      </c>
      <c r="D46" s="17" t="str">
        <f aca="false">IF(OR('Budget du don'!A46="",'Budget du don'!F46=""),"",'Budget du don'!F46)</f>
        <v/>
      </c>
      <c r="E46" s="18" t="str">
        <f aca="false">IF(D46="","",D46*'Budget du don'!$G$4)</f>
        <v/>
      </c>
      <c r="F46" s="17" t="str">
        <f aca="false">IF('Budget du don'!H46="","",'Budget du don'!H46)</f>
        <v/>
      </c>
      <c r="G46" s="18" t="str">
        <f aca="false">IF(F46="","",F46*'Budget du don'!$G$4)</f>
        <v/>
      </c>
      <c r="H46" s="14"/>
      <c r="I46" s="15"/>
      <c r="J46" s="16"/>
      <c r="K46" s="19" t="str">
        <f aca="false">IF(OR(H46="",AND(I46="",J46="")),"",H46*IF(I46&lt;&gt;"",I46,J46/'Budget du don'!$G$4))</f>
        <v/>
      </c>
      <c r="L46" s="18" t="str">
        <f aca="false">IF(K46="","",K46*'Budget du don'!$G$4)</f>
        <v/>
      </c>
      <c r="M46" s="17" t="str">
        <f aca="false">IF(OR(F46="",K46=""),"",F46-K46)</f>
        <v/>
      </c>
      <c r="N46" s="18" t="str">
        <f aca="false">IF(M46="","",M46*'Budget du don'!$G$4)</f>
        <v/>
      </c>
      <c r="O46" s="34" t="str">
        <f aca="false">IF(OR(D46="",D46=0,H46="",AND(I46="",J46="")),"",(IF(I46&lt;&gt;"",I46,J46/'Budget du don'!$G$4)-D46)/D46)</f>
        <v/>
      </c>
      <c r="P46" s="4"/>
    </row>
    <row r="47" customFormat="false" ht="15" hidden="false" customHeight="false" outlineLevel="0" collapsed="false">
      <c r="A47" s="31" t="str">
        <f aca="false">IF('Budget du don'!A47="","",'Budget du don'!A47)</f>
        <v/>
      </c>
      <c r="B47" s="32" t="str">
        <f aca="false">IF(OR('Budget du don'!A47="",'Budget du don'!B47=""),"",'Budget du don'!B47)</f>
        <v/>
      </c>
      <c r="C47" s="33" t="str">
        <f aca="false">IF(OR('Budget du don'!A47="",'Budget du don'!C47=""),"",'Budget du don'!C47)</f>
        <v/>
      </c>
      <c r="D47" s="17" t="str">
        <f aca="false">IF(OR('Budget du don'!A47="",'Budget du don'!F47=""),"",'Budget du don'!F47)</f>
        <v/>
      </c>
      <c r="E47" s="18" t="str">
        <f aca="false">IF(D47="","",D47*'Budget du don'!$G$4)</f>
        <v/>
      </c>
      <c r="F47" s="17" t="str">
        <f aca="false">IF('Budget du don'!H47="","",'Budget du don'!H47)</f>
        <v/>
      </c>
      <c r="G47" s="18" t="str">
        <f aca="false">IF(F47="","",F47*'Budget du don'!$G$4)</f>
        <v/>
      </c>
      <c r="H47" s="14"/>
      <c r="I47" s="15"/>
      <c r="J47" s="16"/>
      <c r="K47" s="19" t="str">
        <f aca="false">IF(OR(H47="",AND(I47="",J47="")),"",H47*IF(I47&lt;&gt;"",I47,J47/'Budget du don'!$G$4))</f>
        <v/>
      </c>
      <c r="L47" s="18" t="str">
        <f aca="false">IF(K47="","",K47*'Budget du don'!$G$4)</f>
        <v/>
      </c>
      <c r="M47" s="17" t="str">
        <f aca="false">IF(OR(F47="",K47=""),"",F47-K47)</f>
        <v/>
      </c>
      <c r="N47" s="18" t="str">
        <f aca="false">IF(M47="","",M47*'Budget du don'!$G$4)</f>
        <v/>
      </c>
      <c r="O47" s="34" t="str">
        <f aca="false">IF(OR(D47="",D47=0,H47="",AND(I47="",J47="")),"",(IF(I47&lt;&gt;"",I47,J47/'Budget du don'!$G$4)-D47)/D47)</f>
        <v/>
      </c>
      <c r="P47" s="4"/>
    </row>
    <row r="48" customFormat="false" ht="15" hidden="false" customHeight="false" outlineLevel="0" collapsed="false">
      <c r="A48" s="31" t="str">
        <f aca="false">IF('Budget du don'!A48="","",'Budget du don'!A48)</f>
        <v/>
      </c>
      <c r="B48" s="32" t="str">
        <f aca="false">IF(OR('Budget du don'!A48="",'Budget du don'!B48=""),"",'Budget du don'!B48)</f>
        <v/>
      </c>
      <c r="C48" s="33" t="str">
        <f aca="false">IF(OR('Budget du don'!A48="",'Budget du don'!C48=""),"",'Budget du don'!C48)</f>
        <v/>
      </c>
      <c r="D48" s="17" t="str">
        <f aca="false">IF(OR('Budget du don'!A48="",'Budget du don'!F48=""),"",'Budget du don'!F48)</f>
        <v/>
      </c>
      <c r="E48" s="18" t="str">
        <f aca="false">IF(D48="","",D48*'Budget du don'!$G$4)</f>
        <v/>
      </c>
      <c r="F48" s="17" t="str">
        <f aca="false">IF('Budget du don'!H48="","",'Budget du don'!H48)</f>
        <v/>
      </c>
      <c r="G48" s="18" t="str">
        <f aca="false">IF(F48="","",F48*'Budget du don'!$G$4)</f>
        <v/>
      </c>
      <c r="H48" s="14"/>
      <c r="I48" s="15"/>
      <c r="J48" s="16"/>
      <c r="K48" s="19" t="str">
        <f aca="false">IF(OR(H48="",AND(I48="",J48="")),"",H48*IF(I48&lt;&gt;"",I48,J48/'Budget du don'!$G$4))</f>
        <v/>
      </c>
      <c r="L48" s="18" t="str">
        <f aca="false">IF(K48="","",K48*'Budget du don'!$G$4)</f>
        <v/>
      </c>
      <c r="M48" s="17" t="str">
        <f aca="false">IF(OR(F48="",K48=""),"",F48-K48)</f>
        <v/>
      </c>
      <c r="N48" s="18" t="str">
        <f aca="false">IF(M48="","",M48*'Budget du don'!$G$4)</f>
        <v/>
      </c>
      <c r="O48" s="34" t="str">
        <f aca="false">IF(OR(D48="",D48=0,H48="",AND(I48="",J48="")),"",(IF(I48&lt;&gt;"",I48,J48/'Budget du don'!$G$4)-D48)/D48)</f>
        <v/>
      </c>
      <c r="P48" s="4"/>
    </row>
    <row r="49" customFormat="false" ht="21.75" hidden="false" customHeight="true" outlineLevel="0" collapsed="false">
      <c r="A49" s="35" t="s">
        <v>61</v>
      </c>
      <c r="B49" s="36"/>
      <c r="C49" s="36"/>
      <c r="D49" s="36"/>
      <c r="E49" s="36"/>
      <c r="F49" s="37" t="n">
        <f aca="false">SUM(F9:F48)</f>
        <v>182.938820684892</v>
      </c>
      <c r="G49" s="38" t="n">
        <f aca="false">SUM(G9:G48)</f>
        <v>120000</v>
      </c>
      <c r="H49" s="36"/>
      <c r="I49" s="36"/>
      <c r="J49" s="36"/>
      <c r="K49" s="37" t="n">
        <f aca="false">SUM(K9:K48)</f>
        <v>195.134742063885</v>
      </c>
      <c r="L49" s="38" t="n">
        <f aca="false">SUM(L9:L48)</f>
        <v>128000</v>
      </c>
      <c r="M49" s="37" t="n">
        <f aca="false">SUM(M9:M48)</f>
        <v>-12.1959213789929</v>
      </c>
      <c r="N49" s="38" t="n">
        <f aca="false">SUM(N9:N48)</f>
        <v>-8000.00000000002</v>
      </c>
      <c r="O49" s="39" t="n">
        <f aca="false">IF(SUM(F9:F48)=0,"",(SUM(K9:K48)-SUM(F9:F48))/SUM(F9:F48))</f>
        <v>0.0666666666666669</v>
      </c>
      <c r="P49" s="36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2026-07-29T09:15:35Z</dcterms:created>
  <dc:creator>openpyxl</dc:creator>
  <dc:description/>
  <dc:language>en-US</dc:language>
  <cp:lastModifiedBy/>
  <dcterms:modified xsi:type="dcterms:W3CDTF">2026-07-29T09:15:35Z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